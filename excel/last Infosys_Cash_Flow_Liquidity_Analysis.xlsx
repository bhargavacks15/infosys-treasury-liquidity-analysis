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harg\Downloads\"/>
    </mc:Choice>
  </mc:AlternateContent>
  <xr:revisionPtr revIDLastSave="0" documentId="8_{611D0AA5-DFBF-4630-B1DD-3401F3F1527F}" xr6:coauthVersionLast="47" xr6:coauthVersionMax="47" xr10:uidLastSave="{00000000-0000-0000-0000-000000000000}"/>
  <bookViews>
    <workbookView xWindow="-108" yWindow="-108" windowWidth="23256" windowHeight="13176" tabRatio="500" firstSheet="3" activeTab="5" xr2:uid="{00000000-000D-0000-FFFF-FFFF00000000}"/>
  </bookViews>
  <sheets>
    <sheet name="Read Me" sheetId="1" r:id="rId1"/>
    <sheet name="Raw Data" sheetId="2" r:id="rId2"/>
    <sheet name="Financial Calculations" sheetId="3" r:id="rId3"/>
    <sheet name="Trend Analysis" sheetId="4" r:id="rId4"/>
    <sheet name="Dashboard" sheetId="5" r:id="rId5"/>
    <sheet name="Data Sources and Audit Check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6" i="6" l="1"/>
  <c r="D36" i="6"/>
  <c r="C36" i="6"/>
  <c r="G36" i="6" s="1"/>
  <c r="G35" i="6"/>
  <c r="E35" i="6"/>
  <c r="D35" i="6"/>
  <c r="C35" i="6"/>
  <c r="E32" i="6"/>
  <c r="D32" i="6"/>
  <c r="C32" i="6"/>
  <c r="G32" i="6" s="1"/>
  <c r="E31" i="6"/>
  <c r="D31" i="6"/>
  <c r="C31" i="6"/>
  <c r="G31" i="6" s="1"/>
  <c r="F29" i="6"/>
  <c r="E26" i="6"/>
  <c r="D26" i="6"/>
  <c r="C26" i="6"/>
  <c r="G26" i="6" s="1"/>
  <c r="E25" i="6"/>
  <c r="D25" i="6"/>
  <c r="C25" i="6"/>
  <c r="G25" i="6" s="1"/>
  <c r="E24" i="6"/>
  <c r="D24" i="6"/>
  <c r="C24" i="6"/>
  <c r="G24" i="6" s="1"/>
  <c r="E23" i="6"/>
  <c r="D23" i="6"/>
  <c r="C23" i="6"/>
  <c r="G23" i="6" s="1"/>
  <c r="E22" i="6"/>
  <c r="D22" i="6"/>
  <c r="C22" i="6"/>
  <c r="G22" i="6" s="1"/>
  <c r="E21" i="6"/>
  <c r="D21" i="6"/>
  <c r="C21" i="6"/>
  <c r="G21" i="6" s="1"/>
  <c r="E20" i="6"/>
  <c r="D20" i="6"/>
  <c r="C20" i="6"/>
  <c r="G20" i="6" s="1"/>
  <c r="E19" i="6"/>
  <c r="D19" i="6"/>
  <c r="C19" i="6"/>
  <c r="G19" i="6" s="1"/>
  <c r="F18" i="6"/>
  <c r="E18" i="6"/>
  <c r="D18" i="6"/>
  <c r="C18" i="6"/>
  <c r="G18" i="6" s="1"/>
  <c r="E17" i="6"/>
  <c r="D17" i="6"/>
  <c r="C17" i="6"/>
  <c r="G17" i="6" s="1"/>
  <c r="E16" i="6"/>
  <c r="D16" i="6"/>
  <c r="C16" i="6"/>
  <c r="G16" i="6" s="1"/>
  <c r="E15" i="6"/>
  <c r="D15" i="6"/>
  <c r="C15" i="6"/>
  <c r="G15" i="6" s="1"/>
  <c r="E14" i="6"/>
  <c r="D14" i="6"/>
  <c r="C14" i="6"/>
  <c r="G14" i="6" s="1"/>
  <c r="B28" i="5"/>
  <c r="F46" i="4"/>
  <c r="C46" i="4"/>
  <c r="K34" i="4"/>
  <c r="K31" i="4"/>
  <c r="K15" i="4"/>
  <c r="K12" i="4"/>
  <c r="K10" i="4"/>
  <c r="E10" i="4"/>
  <c r="D10" i="4"/>
  <c r="C10" i="4"/>
  <c r="E9" i="4"/>
  <c r="D9" i="4"/>
  <c r="C9" i="4"/>
  <c r="E8" i="4"/>
  <c r="D8" i="4"/>
  <c r="C8" i="4"/>
  <c r="E7" i="4"/>
  <c r="D7" i="4"/>
  <c r="C7" i="4"/>
  <c r="G6" i="4"/>
  <c r="E6" i="4"/>
  <c r="D6" i="4"/>
  <c r="C6" i="4"/>
  <c r="E67" i="3"/>
  <c r="E68" i="3" s="1"/>
  <c r="E29" i="6" s="1"/>
  <c r="D67" i="3"/>
  <c r="D68" i="3" s="1"/>
  <c r="D29" i="6" s="1"/>
  <c r="C67" i="3"/>
  <c r="C68" i="3" s="1"/>
  <c r="C29" i="6" s="1"/>
  <c r="G29" i="6" s="1"/>
  <c r="E66" i="3"/>
  <c r="D66" i="3"/>
  <c r="C66" i="3"/>
  <c r="E50" i="3"/>
  <c r="D50" i="3"/>
  <c r="C50" i="3"/>
  <c r="E48" i="3"/>
  <c r="E37" i="4" s="1"/>
  <c r="D48" i="3"/>
  <c r="D37" i="4" s="1"/>
  <c r="C48" i="3"/>
  <c r="C37" i="4" s="1"/>
  <c r="E47" i="3"/>
  <c r="E34" i="4" s="1"/>
  <c r="D47" i="3"/>
  <c r="D34" i="4" s="1"/>
  <c r="C47" i="3"/>
  <c r="C34" i="4" s="1"/>
  <c r="E46" i="3"/>
  <c r="D46" i="3"/>
  <c r="C46" i="3"/>
  <c r="E45" i="3"/>
  <c r="D45" i="3"/>
  <c r="C45" i="3"/>
  <c r="E44" i="3"/>
  <c r="E36" i="4" s="1"/>
  <c r="D44" i="3"/>
  <c r="D36" i="4" s="1"/>
  <c r="C44" i="3"/>
  <c r="C36" i="4" s="1"/>
  <c r="E43" i="3"/>
  <c r="D43" i="3"/>
  <c r="C43" i="3"/>
  <c r="E42" i="3"/>
  <c r="E35" i="4" s="1"/>
  <c r="D42" i="3"/>
  <c r="D35" i="4" s="1"/>
  <c r="C42" i="3"/>
  <c r="C35" i="4" s="1"/>
  <c r="E41" i="3"/>
  <c r="D41" i="3"/>
  <c r="C41" i="3"/>
  <c r="E38" i="3"/>
  <c r="E39" i="3" s="1"/>
  <c r="D38" i="3"/>
  <c r="D39" i="3" s="1"/>
  <c r="C38" i="3"/>
  <c r="C39" i="3" s="1"/>
  <c r="E34" i="3"/>
  <c r="D34" i="3"/>
  <c r="C34" i="3"/>
  <c r="E32" i="3"/>
  <c r="E33" i="4" s="1"/>
  <c r="D32" i="3"/>
  <c r="D33" i="4" s="1"/>
  <c r="C32" i="3"/>
  <c r="C33" i="4" s="1"/>
  <c r="E29" i="3"/>
  <c r="D29" i="3"/>
  <c r="E28" i="3"/>
  <c r="D28" i="3"/>
  <c r="C28" i="3"/>
  <c r="C29" i="3" s="1"/>
  <c r="E26" i="3"/>
  <c r="D26" i="3"/>
  <c r="C26" i="3"/>
  <c r="E25" i="3"/>
  <c r="D25" i="3"/>
  <c r="C25" i="3"/>
  <c r="E24" i="3"/>
  <c r="E30" i="4" s="1"/>
  <c r="D24" i="3"/>
  <c r="D30" i="4" s="1"/>
  <c r="C24" i="3"/>
  <c r="C30" i="4" s="1"/>
  <c r="E21" i="3"/>
  <c r="D21" i="3"/>
  <c r="C21" i="3"/>
  <c r="E18" i="3"/>
  <c r="D18" i="3"/>
  <c r="C18" i="3"/>
  <c r="E15" i="3"/>
  <c r="D15" i="3"/>
  <c r="C15" i="3"/>
  <c r="E10" i="3"/>
  <c r="D10" i="3"/>
  <c r="C10" i="3"/>
  <c r="E9" i="3"/>
  <c r="D9" i="3"/>
  <c r="C9" i="3"/>
  <c r="G10" i="4" l="1"/>
  <c r="H10" i="4"/>
  <c r="I10" i="4"/>
  <c r="F10" i="4"/>
  <c r="H9" i="4"/>
  <c r="G9" i="4"/>
  <c r="K9" i="4"/>
  <c r="F9" i="4"/>
  <c r="I9" i="4"/>
  <c r="H8" i="4"/>
  <c r="G8" i="4"/>
  <c r="K8" i="4"/>
  <c r="I8" i="4"/>
  <c r="F8" i="4"/>
  <c r="G7" i="4"/>
  <c r="H7" i="4"/>
  <c r="K7" i="4"/>
  <c r="F7" i="4"/>
  <c r="I7" i="4"/>
  <c r="H6" i="4"/>
  <c r="K6" i="4"/>
  <c r="F6" i="4"/>
  <c r="I6" i="4"/>
  <c r="E53" i="3"/>
  <c r="B23" i="5"/>
  <c r="G16" i="5"/>
  <c r="R15" i="5" s="1"/>
  <c r="E51" i="3"/>
  <c r="E52" i="3"/>
  <c r="E22" i="4"/>
  <c r="D53" i="3"/>
  <c r="D51" i="3"/>
  <c r="D22" i="4"/>
  <c r="D52" i="3"/>
  <c r="F16" i="5"/>
  <c r="Q15" i="5" s="1"/>
  <c r="E16" i="5"/>
  <c r="P15" i="5" s="1"/>
  <c r="C51" i="3"/>
  <c r="C22" i="4"/>
  <c r="C53" i="3"/>
  <c r="C52" i="3"/>
  <c r="H37" i="4"/>
  <c r="K37" i="4"/>
  <c r="G37" i="4"/>
  <c r="I37" i="4"/>
  <c r="F37" i="4"/>
  <c r="G34" i="4"/>
  <c r="H34" i="4"/>
  <c r="F34" i="4"/>
  <c r="I34" i="4"/>
  <c r="H36" i="4"/>
  <c r="G36" i="4"/>
  <c r="K36" i="4"/>
  <c r="F36" i="4"/>
  <c r="I36" i="4"/>
  <c r="G35" i="4"/>
  <c r="K35" i="4"/>
  <c r="H35" i="4"/>
  <c r="F35" i="4"/>
  <c r="I35" i="4"/>
  <c r="E35" i="3"/>
  <c r="E31" i="4" s="1"/>
  <c r="E15" i="4"/>
  <c r="E37" i="3"/>
  <c r="E36" i="3"/>
  <c r="E54" i="3"/>
  <c r="G14" i="5"/>
  <c r="R13" i="5" s="1"/>
  <c r="D36" i="3"/>
  <c r="D15" i="4"/>
  <c r="D35" i="3"/>
  <c r="D31" i="4" s="1"/>
  <c r="D37" i="3"/>
  <c r="F14" i="5"/>
  <c r="Q13" i="5" s="1"/>
  <c r="D54" i="3"/>
  <c r="C36" i="3"/>
  <c r="C54" i="3"/>
  <c r="C37" i="3"/>
  <c r="C15" i="4"/>
  <c r="E14" i="5"/>
  <c r="P13" i="5" s="1"/>
  <c r="C35" i="3"/>
  <c r="C31" i="4" s="1"/>
  <c r="F45" i="4" s="1"/>
  <c r="G33" i="4"/>
  <c r="H33" i="4"/>
  <c r="K33" i="4"/>
  <c r="F33" i="4"/>
  <c r="I33" i="4"/>
  <c r="E16" i="4"/>
  <c r="E27" i="3"/>
  <c r="E32" i="4" s="1"/>
  <c r="D16" i="4"/>
  <c r="D27" i="3"/>
  <c r="D32" i="4" s="1"/>
  <c r="C27" i="3"/>
  <c r="C32" i="4" s="1"/>
  <c r="C16" i="4"/>
  <c r="G30" i="4"/>
  <c r="H30" i="4"/>
  <c r="K30" i="4"/>
  <c r="F30" i="4"/>
  <c r="I30" i="4"/>
  <c r="G20" i="5"/>
  <c r="R19" i="5" s="1"/>
  <c r="E14" i="4"/>
  <c r="E22" i="3"/>
  <c r="E29" i="4" s="1"/>
  <c r="E23" i="3"/>
  <c r="F20" i="5"/>
  <c r="Q19" i="5" s="1"/>
  <c r="D23" i="3"/>
  <c r="D22" i="3"/>
  <c r="D29" i="4" s="1"/>
  <c r="D14" i="4"/>
  <c r="E20" i="5"/>
  <c r="P19" i="5" s="1"/>
  <c r="C23" i="3"/>
  <c r="C14" i="4"/>
  <c r="C22" i="3"/>
  <c r="C29" i="4" s="1"/>
  <c r="G18" i="5"/>
  <c r="R17" i="5" s="1"/>
  <c r="E26" i="4"/>
  <c r="D26" i="4"/>
  <c r="F18" i="5"/>
  <c r="Q17" i="5" s="1"/>
  <c r="E18" i="5"/>
  <c r="P17" i="5" s="1"/>
  <c r="C26" i="4"/>
  <c r="H6" i="5"/>
  <c r="E25" i="4"/>
  <c r="G17" i="5"/>
  <c r="R16" i="5" s="1"/>
  <c r="D25" i="4"/>
  <c r="F17" i="5"/>
  <c r="Q16" i="5" s="1"/>
  <c r="E17" i="5"/>
  <c r="P16" i="5" s="1"/>
  <c r="C25" i="4"/>
  <c r="G11" i="5"/>
  <c r="R11" i="5" s="1"/>
  <c r="E12" i="4"/>
  <c r="F11" i="5"/>
  <c r="Q11" i="5" s="1"/>
  <c r="D12" i="4"/>
  <c r="E11" i="5"/>
  <c r="P11" i="5" s="1"/>
  <c r="C12" i="4"/>
  <c r="G10" i="5"/>
  <c r="R10" i="5" s="1"/>
  <c r="E11" i="4"/>
  <c r="E11" i="3"/>
  <c r="E13" i="3"/>
  <c r="E31" i="3"/>
  <c r="D11" i="4"/>
  <c r="F10" i="5"/>
  <c r="Q10" i="5" s="1"/>
  <c r="D11" i="3"/>
  <c r="D13" i="3" s="1"/>
  <c r="D27" i="4" s="1"/>
  <c r="D31" i="3"/>
  <c r="E10" i="5"/>
  <c r="P10" i="5" s="1"/>
  <c r="C11" i="3"/>
  <c r="C11" i="4"/>
  <c r="C31" i="3"/>
  <c r="C13" i="3"/>
  <c r="C27" i="4" s="1"/>
  <c r="E61" i="3" l="1"/>
  <c r="E57" i="3"/>
  <c r="E55" i="3"/>
  <c r="E17" i="4"/>
  <c r="E59" i="3"/>
  <c r="E24" i="4" s="1"/>
  <c r="B5" i="5"/>
  <c r="G13" i="5"/>
  <c r="R12" i="5" s="1"/>
  <c r="B6" i="5"/>
  <c r="E56" i="3"/>
  <c r="E33" i="6"/>
  <c r="E60" i="3"/>
  <c r="G22" i="4"/>
  <c r="K22" i="4"/>
  <c r="C41" i="4"/>
  <c r="H22" i="4"/>
  <c r="D57" i="3"/>
  <c r="D61" i="3"/>
  <c r="D59" i="3"/>
  <c r="D24" i="4" s="1"/>
  <c r="D17" i="4"/>
  <c r="D55" i="3"/>
  <c r="F13" i="5"/>
  <c r="Q12" i="5" s="1"/>
  <c r="F22" i="4"/>
  <c r="I22" i="4"/>
  <c r="D60" i="3"/>
  <c r="D56" i="3"/>
  <c r="D33" i="6"/>
  <c r="C55" i="3"/>
  <c r="C59" i="3"/>
  <c r="C24" i="4" s="1"/>
  <c r="C17" i="4"/>
  <c r="F41" i="4" s="1"/>
  <c r="E13" i="5"/>
  <c r="P12" i="5" s="1"/>
  <c r="C61" i="3"/>
  <c r="C57" i="3"/>
  <c r="C33" i="6"/>
  <c r="G33" i="6" s="1"/>
  <c r="C56" i="3"/>
  <c r="C60" i="3"/>
  <c r="G31" i="4"/>
  <c r="H31" i="4"/>
  <c r="C45" i="4"/>
  <c r="G15" i="4"/>
  <c r="H15" i="4"/>
  <c r="F15" i="4"/>
  <c r="I15" i="4"/>
  <c r="F31" i="4"/>
  <c r="I31" i="4"/>
  <c r="H16" i="4"/>
  <c r="G16" i="4"/>
  <c r="K16" i="4"/>
  <c r="G32" i="4"/>
  <c r="H32" i="4"/>
  <c r="K32" i="4"/>
  <c r="F16" i="4"/>
  <c r="I16" i="4"/>
  <c r="F32" i="4"/>
  <c r="I32" i="4"/>
  <c r="G14" i="4"/>
  <c r="H14" i="4"/>
  <c r="K14" i="4"/>
  <c r="G29" i="4"/>
  <c r="H29" i="4"/>
  <c r="K29" i="4"/>
  <c r="F29" i="4"/>
  <c r="I29" i="4"/>
  <c r="F14" i="4"/>
  <c r="I14" i="4"/>
  <c r="G26" i="4"/>
  <c r="H26" i="4"/>
  <c r="K26" i="4"/>
  <c r="F26" i="4"/>
  <c r="I26" i="4"/>
  <c r="G25" i="4"/>
  <c r="H25" i="4"/>
  <c r="K25" i="4"/>
  <c r="C43" i="4"/>
  <c r="F25" i="4"/>
  <c r="I25" i="4"/>
  <c r="H12" i="4"/>
  <c r="G12" i="4"/>
  <c r="F12" i="4"/>
  <c r="I12" i="4"/>
  <c r="G11" i="4"/>
  <c r="H11" i="4"/>
  <c r="K11" i="4"/>
  <c r="E30" i="3"/>
  <c r="E63" i="3"/>
  <c r="Q24" i="5" s="1"/>
  <c r="H5" i="5"/>
  <c r="G12" i="5"/>
  <c r="B25" i="5"/>
  <c r="E30" i="6"/>
  <c r="E17" i="3"/>
  <c r="E19" i="3" s="1"/>
  <c r="E28" i="6" s="1"/>
  <c r="E13" i="4"/>
  <c r="E12" i="3"/>
  <c r="E14" i="3"/>
  <c r="E16" i="3" s="1"/>
  <c r="E27" i="6" s="1"/>
  <c r="B26" i="5"/>
  <c r="E27" i="4"/>
  <c r="I27" i="4" s="1"/>
  <c r="F11" i="4"/>
  <c r="I11" i="4"/>
  <c r="F12" i="5"/>
  <c r="D14" i="3"/>
  <c r="D16" i="3" s="1"/>
  <c r="D27" i="6" s="1"/>
  <c r="D13" i="4"/>
  <c r="D30" i="6"/>
  <c r="D12" i="3"/>
  <c r="D63" i="3"/>
  <c r="P24" i="5" s="1"/>
  <c r="D17" i="3"/>
  <c r="D19" i="3" s="1"/>
  <c r="D28" i="6" s="1"/>
  <c r="D30" i="3"/>
  <c r="F27" i="4"/>
  <c r="C14" i="3"/>
  <c r="C16" i="3" s="1"/>
  <c r="C27" i="6" s="1"/>
  <c r="E12" i="5"/>
  <c r="C17" i="3"/>
  <c r="C19" i="3" s="1"/>
  <c r="C28" i="6" s="1"/>
  <c r="C12" i="3"/>
  <c r="C30" i="3"/>
  <c r="C13" i="4"/>
  <c r="C30" i="6"/>
  <c r="F43" i="4"/>
  <c r="G15" i="5" l="1"/>
  <c r="R14" i="5" s="1"/>
  <c r="B24" i="5"/>
  <c r="E34" i="6"/>
  <c r="E18" i="4"/>
  <c r="Q23" i="5"/>
  <c r="E62" i="3"/>
  <c r="E58" i="3"/>
  <c r="E64" i="3"/>
  <c r="E5" i="5"/>
  <c r="G17" i="4"/>
  <c r="H17" i="4"/>
  <c r="K17" i="4"/>
  <c r="G24" i="4"/>
  <c r="H24" i="4"/>
  <c r="K24" i="4"/>
  <c r="F24" i="4"/>
  <c r="I24" i="4"/>
  <c r="F17" i="4"/>
  <c r="I17" i="4"/>
  <c r="D58" i="3"/>
  <c r="D23" i="4" s="1"/>
  <c r="P23" i="5"/>
  <c r="D34" i="6"/>
  <c r="D62" i="3"/>
  <c r="D64" i="3"/>
  <c r="D18" i="4"/>
  <c r="F15" i="5"/>
  <c r="Q14" i="5" s="1"/>
  <c r="C18" i="4"/>
  <c r="C58" i="3"/>
  <c r="C23" i="4" s="1"/>
  <c r="C62" i="3"/>
  <c r="E15" i="5"/>
  <c r="P14" i="5" s="1"/>
  <c r="C34" i="6"/>
  <c r="G34" i="6" s="1"/>
  <c r="E28" i="4"/>
  <c r="K5" i="5"/>
  <c r="G19" i="5"/>
  <c r="R18" i="5" s="1"/>
  <c r="G13" i="4"/>
  <c r="H13" i="4"/>
  <c r="K13" i="4"/>
  <c r="G27" i="4"/>
  <c r="H27" i="4"/>
  <c r="K27" i="4"/>
  <c r="F13" i="4"/>
  <c r="I13" i="4"/>
  <c r="D28" i="4"/>
  <c r="F19" i="5"/>
  <c r="Q18" i="5" s="1"/>
  <c r="K6" i="5"/>
  <c r="E19" i="5"/>
  <c r="P18" i="5" s="1"/>
  <c r="C28" i="4"/>
  <c r="F44" i="4" s="1"/>
  <c r="G27" i="6"/>
  <c r="C4" i="6" s="1"/>
  <c r="G28" i="6"/>
  <c r="G30" i="6"/>
  <c r="G18" i="4" l="1"/>
  <c r="K18" i="4"/>
  <c r="H18" i="4"/>
  <c r="E6" i="5"/>
  <c r="E23" i="4"/>
  <c r="I23" i="4" s="1"/>
  <c r="B27" i="5"/>
  <c r="Q25" i="5"/>
  <c r="E65" i="3"/>
  <c r="F23" i="4"/>
  <c r="D65" i="3"/>
  <c r="P25" i="5"/>
  <c r="I18" i="4"/>
  <c r="F18" i="4"/>
  <c r="G28" i="4"/>
  <c r="H28" i="4"/>
  <c r="K28" i="4"/>
  <c r="C44" i="4"/>
  <c r="F28" i="4"/>
  <c r="I28" i="4"/>
  <c r="F42" i="4" l="1"/>
  <c r="H23" i="4"/>
  <c r="K23" i="4"/>
  <c r="C42" i="4"/>
  <c r="G23" i="4"/>
</calcChain>
</file>

<file path=xl/sharedStrings.xml><?xml version="1.0" encoding="utf-8"?>
<sst xmlns="http://schemas.openxmlformats.org/spreadsheetml/2006/main" count="1056" uniqueCount="602">
  <si>
    <t>Corporate Treasury &amp; Liquidity Analysis: Infosys Ltd.</t>
  </si>
  <si>
    <t>Single-source edition · FY2022-23 to FY2024-25 · ₹ crore · built only from Infosys 'Additional Information' (Annual Report 2024-25 extract)</t>
  </si>
  <si>
    <t>Purpose</t>
  </si>
  <si>
    <t>Assess how Infosys generates and holds cash and how its liquidity position changed over three years, using only the figures printed in one public document.</t>
  </si>
  <si>
    <t>Source</t>
  </si>
  <si>
    <t>Infosys Limited, 'Additional Information' (7-page extract of the Annual Report 2024-25; file infosys.pdf). Page numbers in 'Raw Data' refer to its printed pages. No other source is used.</t>
  </si>
  <si>
    <t>Basis</t>
  </si>
  <si>
    <t>Ratios on p.1 are stated to be based on consolidated IFRS INR statements. The Historical Data table (p.4) names no basis. Figures are used exactly as printed.</t>
  </si>
  <si>
    <t>What this edition can do</t>
  </si>
  <si>
    <t>Cash and investments, net cash, cover of operating costs, net current assets, capital intensity, profitability checks, trends, and an approximate operating cash flow and free cash flow rebuilt from the printed OCF ÷ revenue ratio (with a rounding range).</t>
  </si>
  <si>
    <t>What it cannot do</t>
  </si>
  <si>
    <t>Current ratio, cash ratio, OCF ratio and quick ratio need total current assets and current liabilities, which the source does not give. They are shown as NOT AVAILABLE, not estimated. Dividends, buy-backs, lease payments and tax paid cannot be itemised.</t>
  </si>
  <si>
    <t>Sheets</t>
  </si>
  <si>
    <t>Raw Data → Financial Calculations → Trend Analysis → Dashboard → Data Sources and Audit Checks. Change a blue cell and everything downstream recalculates.</t>
  </si>
  <si>
    <t>Key cautions</t>
  </si>
  <si>
    <t>(1) Accounting basis: p.1 says the ratios use consolidated IFRS INR statements; the Historical Data table (p.4) does not name its basis. All figures are used as printed. (2) Rounding: ratios are printed to one decimal place (0.1 percentage point), so any rupee figure rebuilt from a ratio can be off by up to +/-0.05 percentage point of the base (about +/-Rs 80 crore on FY25 revenue). (3) Non-IFRS measure: the company's 'cash and investments' (p.1) excludes some investments; footnotes on p.1 and p.2 word the exclusion slightly differently. (4) Investments are shown as one combined current + non-current line, so cash + investments cannot be treated as a current-asset (short-term) measure.</t>
  </si>
  <si>
    <t>Preparation note</t>
  </si>
  <si>
    <t>Raw Data - figures typed from the source PDF</t>
  </si>
  <si>
    <t>Source: Infosys Limited, 'Additional Information' (Annual Report 2024-25 extract; file infosys.pdf). Blue = typed input. Nothing on this sheet is estimated.</t>
  </si>
  <si>
    <t>Units: ₹ crore unless stated. Ratios are stored as decimals and shown as %. Page numbers are the printed page numbers of the PDF (p.1-p.7).</t>
  </si>
  <si>
    <t>Ref</t>
  </si>
  <si>
    <t>Item</t>
  </si>
  <si>
    <t>FY2022-23</t>
  </si>
  <si>
    <t>FY2023-24</t>
  </si>
  <si>
    <t>FY2024-25</t>
  </si>
  <si>
    <t>Unit</t>
  </si>
  <si>
    <t>Type</t>
  </si>
  <si>
    <t>PDF page</t>
  </si>
  <si>
    <t>Table in PDF</t>
  </si>
  <si>
    <t>Notes</t>
  </si>
  <si>
    <t>A. Financial performance (Rs crore) - Historical Data table</t>
  </si>
  <si>
    <t>R01</t>
  </si>
  <si>
    <t>Revenue</t>
  </si>
  <si>
    <t>₹ crore</t>
  </si>
  <si>
    <t>Reported</t>
  </si>
  <si>
    <t>p.4</t>
  </si>
  <si>
    <t>Historical Data</t>
  </si>
  <si>
    <t>R02</t>
  </si>
  <si>
    <t>Operating profit</t>
  </si>
  <si>
    <t>Before other income and finance cost (file does not give a definition).</t>
  </si>
  <si>
    <t>R03</t>
  </si>
  <si>
    <t>Finance cost</t>
  </si>
  <si>
    <t>Debt is nil in the same table, so the file does not show what this cost relates to.</t>
  </si>
  <si>
    <t>R04</t>
  </si>
  <si>
    <t>Profit before income taxes (PBT)</t>
  </si>
  <si>
    <t>R05</t>
  </si>
  <si>
    <t>Provision for taxation</t>
  </si>
  <si>
    <t>R06</t>
  </si>
  <si>
    <t>Profit after tax (PAT)</t>
  </si>
  <si>
    <t>R07</t>
  </si>
  <si>
    <t>Profit attributable to non-controlling interests</t>
  </si>
  <si>
    <t>R08</t>
  </si>
  <si>
    <t>Profit attributable to owners of the Company</t>
  </si>
  <si>
    <t>B. Financial position and capital expenditure (Rs crore) - Historical Data table</t>
  </si>
  <si>
    <t>R10</t>
  </si>
  <si>
    <t>Equity</t>
  </si>
  <si>
    <t>R11</t>
  </si>
  <si>
    <t>Debt</t>
  </si>
  <si>
    <t>Printed as a dash (nil) in every year from 2014 to 2025; entered as 0.</t>
  </si>
  <si>
    <t>R12</t>
  </si>
  <si>
    <t>Property, plant and equipment</t>
  </si>
  <si>
    <t>R13</t>
  </si>
  <si>
    <t>Right-of-use assets</t>
  </si>
  <si>
    <t>R14</t>
  </si>
  <si>
    <t>Capital expenditure</t>
  </si>
  <si>
    <t>Definition not given in the file (cash outflow vs. additions not stated).</t>
  </si>
  <si>
    <t>R15</t>
  </si>
  <si>
    <t>Cash and cash equivalents</t>
  </si>
  <si>
    <t>R16</t>
  </si>
  <si>
    <t>Current and non-current investments</t>
  </si>
  <si>
    <t>Current and non-current are combined in one line; the split is not in the file.</t>
  </si>
  <si>
    <t>R17</t>
  </si>
  <si>
    <t>Net current assets</t>
  </si>
  <si>
    <t>Definition not given; understood as current assets less current liabilities. Neither component is in the file.</t>
  </si>
  <si>
    <t>R18</t>
  </si>
  <si>
    <t>Total assets</t>
  </si>
  <si>
    <t>R19</t>
  </si>
  <si>
    <t>Market capitalisation - period end</t>
  </si>
  <si>
    <t>Context only; not used in liquidity metrics.</t>
  </si>
  <si>
    <t>C. Reported ratios - Ratio analysis table (p.1; stored as decimals, one decimal place in the file)</t>
  </si>
  <si>
    <t>Q01</t>
  </si>
  <si>
    <t>Operating cash flows / revenue</t>
  </si>
  <si>
    <t>%</t>
  </si>
  <si>
    <t>Reported ratio</t>
  </si>
  <si>
    <t>p.1</t>
  </si>
  <si>
    <t>Ratio analysis</t>
  </si>
  <si>
    <t>The ONLY cash-flow-statement information in the file. Rounded to 0.1 percentage point.</t>
  </si>
  <si>
    <t>Q02</t>
  </si>
  <si>
    <t>Consolidated cash and investments / total assets</t>
  </si>
  <si>
    <t>Non-IFRS measure; footnote (2) on p.1 lists items excluded (equity/preference shares, unquoted CCDs, others).</t>
  </si>
  <si>
    <t>Q03</t>
  </si>
  <si>
    <t>Consolidated cash and investments / revenue</t>
  </si>
  <si>
    <t>Same non-IFRS definition as Q02.</t>
  </si>
  <si>
    <t>Q04</t>
  </si>
  <si>
    <t>Day's sales outstanding (USD terms)</t>
  </si>
  <si>
    <t>days</t>
  </si>
  <si>
    <t>Computed by the company in USD terms.</t>
  </si>
  <si>
    <t>Q05</t>
  </si>
  <si>
    <t>Operating profit / revenue</t>
  </si>
  <si>
    <t>Q06</t>
  </si>
  <si>
    <t>Other income / revenue</t>
  </si>
  <si>
    <t>Q07</t>
  </si>
  <si>
    <t>Profit before tax (PBT) / revenue</t>
  </si>
  <si>
    <t>Q08</t>
  </si>
  <si>
    <t>Tax / revenue</t>
  </si>
  <si>
    <t>Q09</t>
  </si>
  <si>
    <t>Effective tax rate (tax / PBT)</t>
  </si>
  <si>
    <t>Q10</t>
  </si>
  <si>
    <t>Profit after tax (PAT) / revenue</t>
  </si>
  <si>
    <t>Q11</t>
  </si>
  <si>
    <t>Return on equity (USD terms)</t>
  </si>
  <si>
    <t>USD terms; cannot be recomputed from rupee figures in the file.</t>
  </si>
  <si>
    <t>Q12</t>
  </si>
  <si>
    <t>Dividend payout</t>
  </si>
  <si>
    <t>Definition and rupee amount of dividends are not in the file.</t>
  </si>
  <si>
    <t>Q13</t>
  </si>
  <si>
    <t>Market capitalisation / revenue (times)</t>
  </si>
  <si>
    <t>x</t>
  </si>
  <si>
    <t>Context only.</t>
  </si>
  <si>
    <t>Q14</t>
  </si>
  <si>
    <t>Cost of sales / revenue</t>
  </si>
  <si>
    <t>Q16</t>
  </si>
  <si>
    <t>Export revenue / revenue</t>
  </si>
  <si>
    <t>The file does not define 'export revenue' or give its currency mix.</t>
  </si>
  <si>
    <t>Q15</t>
  </si>
  <si>
    <t>Aggregate employee costs / revenue</t>
  </si>
  <si>
    <t>D. Per-share data and growth (p.3 and p.4)</t>
  </si>
  <si>
    <t>S01</t>
  </si>
  <si>
    <t>Basic EPS</t>
  </si>
  <si>
    <t>₹</t>
  </si>
  <si>
    <t>Same values on p.1.</t>
  </si>
  <si>
    <t>S02</t>
  </si>
  <si>
    <t>Book value per share</t>
  </si>
  <si>
    <t>G01</t>
  </si>
  <si>
    <t>Revenue growth, as printed (₹ crore basis)</t>
  </si>
  <si>
    <t>p.3</t>
  </si>
  <si>
    <t>Employee strength and revenue growth</t>
  </si>
  <si>
    <t>Printed as whole percentages.</t>
  </si>
  <si>
    <t>G02</t>
  </si>
  <si>
    <t>PAT growth, as printed (₹ crore basis)</t>
  </si>
  <si>
    <t>E. Cross-page copies and prior-year references (used only by audit checks)</t>
  </si>
  <si>
    <t>X01</t>
  </si>
  <si>
    <t>Revenue as shown in the growth table</t>
  </si>
  <si>
    <t>Second appearance of revenue; compared with R01 by an audit check.</t>
  </si>
  <si>
    <t>X02</t>
  </si>
  <si>
    <t>PAT as shown in the growth table</t>
  </si>
  <si>
    <t>Second appearance of PAT; compared with R06.</t>
  </si>
  <si>
    <t>X03</t>
  </si>
  <si>
    <t>Revenue, previous financial year</t>
  </si>
  <si>
    <t>FY2021-22 revenue is printed on p.3 and p.4; FY23/FY24 values repeat R01.</t>
  </si>
  <si>
    <t>X04</t>
  </si>
  <si>
    <t>PAT, previous financial year</t>
  </si>
  <si>
    <t>FY2021-22 PAT is printed on p.3 and p.4.</t>
  </si>
  <si>
    <t>X05</t>
  </si>
  <si>
    <t>Employees at year end (Infosys Group)</t>
  </si>
  <si>
    <t>count</t>
  </si>
  <si>
    <t>X06</t>
  </si>
  <si>
    <t>Revenue (USD million, IFRS)</t>
  </si>
  <si>
    <t>USD million</t>
  </si>
  <si>
    <t>F. Credit ratings (text; p.4)</t>
  </si>
  <si>
    <t>T01</t>
  </si>
  <si>
    <t>Standard &amp; Poor's</t>
  </si>
  <si>
    <t>A</t>
  </si>
  <si>
    <t>text</t>
  </si>
  <si>
    <t>Reported text</t>
  </si>
  <si>
    <t>T02</t>
  </si>
  <si>
    <t>CRISIL</t>
  </si>
  <si>
    <t>AAA</t>
  </si>
  <si>
    <t>T03</t>
  </si>
  <si>
    <t>Moody's</t>
  </si>
  <si>
    <t>Baa1</t>
  </si>
  <si>
    <t>T04</t>
  </si>
  <si>
    <t>Dun &amp; Bradstreet</t>
  </si>
  <si>
    <t>5A1</t>
  </si>
  <si>
    <t>Not in the source (so not on this sheet): operating cash flow in ₹, total current assets, total current liabilities, free cash flow, dividends and buy-back amounts. See 'Financial Calculations', Part F.</t>
  </si>
  <si>
    <t>Financial Calculations</t>
  </si>
  <si>
    <t>Green = link to Raw Data. Black = formula. Rows marked DERIVED use the printed (rounded) OCF/revenue ratio and are approximate; their range is shown explicitly.</t>
  </si>
  <si>
    <t>Metric</t>
  </si>
  <si>
    <t>How it is calculated</t>
  </si>
  <si>
    <t>Reading / caution</t>
  </si>
  <si>
    <t>Assumptions (blue = editable)</t>
  </si>
  <si>
    <t>AS1</t>
  </si>
  <si>
    <t>Rounding tolerance on printed ratios (± as a decimal; 0.0005 = ±0.05 percentage point)</t>
  </si>
  <si>
    <t>Ratios in the PDF are printed to 0.1 pp, so the true value lies within ±0.05 pp of the printed one.</t>
  </si>
  <si>
    <t>AS2</t>
  </si>
  <si>
    <t>Days in a year (for per-day operating cost)</t>
  </si>
  <si>
    <t>A. Cash and investments (reported inputs)</t>
  </si>
  <si>
    <t>A01</t>
  </si>
  <si>
    <t>Raw Data R15</t>
  </si>
  <si>
    <t>A02</t>
  </si>
  <si>
    <t>Investments (current + non-current)</t>
  </si>
  <si>
    <t>Raw Data R16</t>
  </si>
  <si>
    <t>Current and non-current are combined in the source; the split is not available.</t>
  </si>
  <si>
    <t>A03</t>
  </si>
  <si>
    <t>Cash + investments</t>
  </si>
  <si>
    <t>Calculated</t>
  </si>
  <si>
    <t>A01 + A02</t>
  </si>
  <si>
    <t>Broad measure. It includes non-current investments, so it is NOT a short-term (current-asset) measure.</t>
  </si>
  <si>
    <t>A04</t>
  </si>
  <si>
    <t>Net cash (cash + investments − debt)</t>
  </si>
  <si>
    <t>A03 − Debt (R11)</t>
  </si>
  <si>
    <t>Debt is nil in all three years, so net cash equals cash + investments.</t>
  </si>
  <si>
    <t>A05</t>
  </si>
  <si>
    <t>Cash and equivalents as % of cash + investments</t>
  </si>
  <si>
    <t>A01 ÷ A03</t>
  </si>
  <si>
    <t>Higher share = more of the pool is held as cash rather than investments.</t>
  </si>
  <si>
    <t>A06</t>
  </si>
  <si>
    <t>Cash + investments ÷ total assets (own calculation)</t>
  </si>
  <si>
    <t>A03 ÷ Total assets (R18)</t>
  </si>
  <si>
    <t>Slightly above the company's figure because the company excludes some investments (see A07).</t>
  </si>
  <si>
    <t>A07</t>
  </si>
  <si>
    <t>Cash and investments ÷ total assets (company, printed)</t>
  </si>
  <si>
    <t>Raw Data Q02</t>
  </si>
  <si>
    <t>Company's non-IFRS measure (p.1).</t>
  </si>
  <si>
    <t>A08</t>
  </si>
  <si>
    <t>Gap: own less company</t>
  </si>
  <si>
    <t>pp</t>
  </si>
  <si>
    <t>Check</t>
  </si>
  <si>
    <t>(A06 − A07) × 100</t>
  </si>
  <si>
    <t>A small positive gap is expected; a large or negative gap would signal a data problem.</t>
  </si>
  <si>
    <t>A09</t>
  </si>
  <si>
    <t>Cash + investments ÷ revenue (own calculation)</t>
  </si>
  <si>
    <t>A03 ÷ Revenue (R01)</t>
  </si>
  <si>
    <t>A10</t>
  </si>
  <si>
    <t>Cash and investments ÷ revenue (company, printed)</t>
  </si>
  <si>
    <t>Raw Data Q03</t>
  </si>
  <si>
    <t>A11</t>
  </si>
  <si>
    <t>(A09 − A10) × 100</t>
  </si>
  <si>
    <t>B. Working capital, solvency and operating-cost cover</t>
  </si>
  <si>
    <t>B01</t>
  </si>
  <si>
    <t>Raw Data R17</t>
  </si>
  <si>
    <t>Source does not define it or give its two components; used only as reported.</t>
  </si>
  <si>
    <t>B02</t>
  </si>
  <si>
    <t>Net current assets ÷ revenue</t>
  </si>
  <si>
    <t>B01 ÷ Revenue</t>
  </si>
  <si>
    <t>B03</t>
  </si>
  <si>
    <t>Net current assets ÷ total assets</t>
  </si>
  <si>
    <t>B01 ÷ Total assets</t>
  </si>
  <si>
    <t>B04</t>
  </si>
  <si>
    <t>Equity ÷ total assets</t>
  </si>
  <si>
    <t>Equity (R10) ÷ Total assets (R18)</t>
  </si>
  <si>
    <t>Rising share of equity = less reliance on liabilities.</t>
  </si>
  <si>
    <t>B05</t>
  </si>
  <si>
    <t>Debt ÷ equity</t>
  </si>
  <si>
    <t>Debt (R11) ÷ Equity (R10)</t>
  </si>
  <si>
    <t>Zero: the source shows no debt in any year.</t>
  </si>
  <si>
    <t>B06</t>
  </si>
  <si>
    <t>Raw Data R03</t>
  </si>
  <si>
    <t>A positive finance cost alongside nil debt means it relates to something other than borrowings; the source does not say what.</t>
  </si>
  <si>
    <t>B07</t>
  </si>
  <si>
    <t>Operating profit ÷ finance cost</t>
  </si>
  <si>
    <t>Operating profit (R02) ÷ B06</t>
  </si>
  <si>
    <t>Coverage is very high in every year.</t>
  </si>
  <si>
    <t>B08</t>
  </si>
  <si>
    <t>Operating costs (revenue − operating profit)</t>
  </si>
  <si>
    <t>Revenue (R01) − Operating profit (R02)</t>
  </si>
  <si>
    <t>Includes non-cash items such as depreciation, so cash costs are somewhat lower (cover days below are conservative).</t>
  </si>
  <si>
    <t>B09</t>
  </si>
  <si>
    <t>Operating costs per day</t>
  </si>
  <si>
    <t>B08 ÷ days in year (AS2)</t>
  </si>
  <si>
    <t>B10</t>
  </si>
  <si>
    <t>Days of operating costs covered by cash + investments</t>
  </si>
  <si>
    <t>A03 ÷ B09</t>
  </si>
  <si>
    <t>A buffer measure: how long the pool would fund operating costs with no revenue.</t>
  </si>
  <si>
    <t>B11</t>
  </si>
  <si>
    <t>Days of operating costs covered by cash and equivalents only</t>
  </si>
  <si>
    <t>A01 ÷ B09</t>
  </si>
  <si>
    <t>The stricter, more immediately available version.</t>
  </si>
  <si>
    <t>B12</t>
  </si>
  <si>
    <t>Day's sales outstanding (company, USD terms)</t>
  </si>
  <si>
    <t>Raw Data Q04</t>
  </si>
  <si>
    <t>Lower = faster collection. Computed by the company in USD terms.</t>
  </si>
  <si>
    <t>C. Capital expenditure and asset intensity</t>
  </si>
  <si>
    <t>C01</t>
  </si>
  <si>
    <t>Raw Data R14</t>
  </si>
  <si>
    <t>Basis (cash paid vs additions) is not stated in the source.</t>
  </si>
  <si>
    <t>C02</t>
  </si>
  <si>
    <t>Capex ÷ revenue</t>
  </si>
  <si>
    <t>C01 ÷ Revenue</t>
  </si>
  <si>
    <t>Capital intensity.</t>
  </si>
  <si>
    <t>C03</t>
  </si>
  <si>
    <t>Capex ÷ operating profit</t>
  </si>
  <si>
    <t>C01 ÷ Operating profit</t>
  </si>
  <si>
    <t>C04</t>
  </si>
  <si>
    <t>Capex ÷ PAT</t>
  </si>
  <si>
    <t>C01 ÷ PAT</t>
  </si>
  <si>
    <t>C05</t>
  </si>
  <si>
    <t>Property, plant and equipment + right-of-use assets</t>
  </si>
  <si>
    <t>R12 + R13</t>
  </si>
  <si>
    <t>C06</t>
  </si>
  <si>
    <t>(PPE + right-of-use) ÷ total assets</t>
  </si>
  <si>
    <t>C05 ÷ Total assets</t>
  </si>
  <si>
    <t>Falling share = asset base is becoming more financial and less physical.</t>
  </si>
  <si>
    <t>D. Profitability cross-checks (calculated vs printed) and reported returns</t>
  </si>
  <si>
    <t>D01</t>
  </si>
  <si>
    <t>Operating margin (calculated)</t>
  </si>
  <si>
    <t>Operating profit ÷ Revenue</t>
  </si>
  <si>
    <t>D02</t>
  </si>
  <si>
    <t>Operating margin (printed)</t>
  </si>
  <si>
    <t>Raw Data Q05</t>
  </si>
  <si>
    <t>D03</t>
  </si>
  <si>
    <t>PAT margin (calculated)</t>
  </si>
  <si>
    <t>PAT ÷ Revenue</t>
  </si>
  <si>
    <t>D04</t>
  </si>
  <si>
    <t>PAT margin (printed)</t>
  </si>
  <si>
    <t>Raw Data Q10</t>
  </si>
  <si>
    <t>D05</t>
  </si>
  <si>
    <t>Effective tax rate (calculated)</t>
  </si>
  <si>
    <t>Provision for taxation ÷ PBT</t>
  </si>
  <si>
    <t>D06</t>
  </si>
  <si>
    <t>Effective tax rate (printed)</t>
  </si>
  <si>
    <t>Raw Data Q09</t>
  </si>
  <si>
    <t>D07</t>
  </si>
  <si>
    <t>Dividend payout (printed)</t>
  </si>
  <si>
    <t>Raw Data Q12</t>
  </si>
  <si>
    <t>Rupee amount of dividends is not in the source.</t>
  </si>
  <si>
    <t>D08</t>
  </si>
  <si>
    <t>Return on equity, USD terms (printed)</t>
  </si>
  <si>
    <t>Raw Data Q11</t>
  </si>
  <si>
    <t>E. Cash generation - DERIVED from the printed OCF ÷ revenue ratio (approximate; range shown)</t>
  </si>
  <si>
    <t>E01</t>
  </si>
  <si>
    <t>Operating cash flow ÷ revenue (printed)</t>
  </si>
  <si>
    <t>Raw Data Q01</t>
  </si>
  <si>
    <t>The only cash-flow information in the source.</t>
  </si>
  <si>
    <t>E02</t>
  </si>
  <si>
    <t>Operating cash flow - central estimate</t>
  </si>
  <si>
    <t>DERIVED - approx.</t>
  </si>
  <si>
    <t>E01 × Revenue (R01)</t>
  </si>
  <si>
    <t>Not a reported figure. Rounding of the printed ratio means the true value is within the range in E03-E04.</t>
  </si>
  <si>
    <t>E03</t>
  </si>
  <si>
    <t>Operating cash flow - low end of range</t>
  </si>
  <si>
    <t>(E01 − AS1) × Revenue</t>
  </si>
  <si>
    <t>E04</t>
  </si>
  <si>
    <t>Operating cash flow - high end of range</t>
  </si>
  <si>
    <t>(E01 + AS1) × Revenue</t>
  </si>
  <si>
    <t>E05</t>
  </si>
  <si>
    <t>Capital expenditure (from C01)</t>
  </si>
  <si>
    <t>E06</t>
  </si>
  <si>
    <t>Free cash flow - central estimate</t>
  </si>
  <si>
    <t>E02 − E05</t>
  </si>
  <si>
    <t>FCF = operating cash flow − capex. Approximate because OCF is rebuilt from a rounded ratio and the capex basis is not stated.</t>
  </si>
  <si>
    <t>E07</t>
  </si>
  <si>
    <t>Free cash flow - low end of range</t>
  </si>
  <si>
    <t>E03 − E05</t>
  </si>
  <si>
    <t>E08</t>
  </si>
  <si>
    <t>Free cash flow - high end of range</t>
  </si>
  <si>
    <t>E04 − E05</t>
  </si>
  <si>
    <t>E09</t>
  </si>
  <si>
    <t>Free cash flow margin (FCF ÷ revenue)</t>
  </si>
  <si>
    <t>E06 ÷ Revenue</t>
  </si>
  <si>
    <t>E10</t>
  </si>
  <si>
    <t>Cash conversion: OCF ÷ PAT - central</t>
  </si>
  <si>
    <t>E02 ÷ PAT (R06)</t>
  </si>
  <si>
    <t>Above 1.0x means operating cash flow exceeded accounting profit.</t>
  </si>
  <si>
    <t>E11</t>
  </si>
  <si>
    <t>Cash conversion: OCF ÷ PAT - low</t>
  </si>
  <si>
    <t>E03 ÷ PAT</t>
  </si>
  <si>
    <t>E12</t>
  </si>
  <si>
    <t>Cash conversion: OCF ÷ PAT - high</t>
  </si>
  <si>
    <t>E04 ÷ PAT</t>
  </si>
  <si>
    <t>E13</t>
  </si>
  <si>
    <t>FCF ÷ PAT - central</t>
  </si>
  <si>
    <t>E06 ÷ PAT</t>
  </si>
  <si>
    <t>E14</t>
  </si>
  <si>
    <t>Change in cash + investments during the year</t>
  </si>
  <si>
    <t>n.a.</t>
  </si>
  <si>
    <t>A03 this year − A03 last year</t>
  </si>
  <si>
    <t>Can also move for reasons other than cash flow (e.g. fair-value and currency effects).</t>
  </si>
  <si>
    <t>E15</t>
  </si>
  <si>
    <t>Residual: FCF not reflected in the rise in cash + investments</t>
  </si>
  <si>
    <t>E06 − E14</t>
  </si>
  <si>
    <t>Cash that left the pool for reasons the source does not itemise (it cannot say whether dividends, leases, acquisitions or other items). Indicative only; not a cash bridge.</t>
  </si>
  <si>
    <t>E16</t>
  </si>
  <si>
    <t>Residual as % of FCF</t>
  </si>
  <si>
    <t>E15 ÷ E06</t>
  </si>
  <si>
    <t>E17</t>
  </si>
  <si>
    <t>Company 'cash and investments' rebuilt from ratio × total assets</t>
  </si>
  <si>
    <t>Q02 × Total assets</t>
  </si>
  <si>
    <t>Used only as a consistency test of the printed ratios.</t>
  </si>
  <si>
    <t>E18</t>
  </si>
  <si>
    <t>Company 'cash and investments' rebuilt from ratio × revenue</t>
  </si>
  <si>
    <t>Q03 × Revenue</t>
  </si>
  <si>
    <t>E19</t>
  </si>
  <si>
    <t>Difference between the two rebuilds</t>
  </si>
  <si>
    <t>E18 − E17</t>
  </si>
  <si>
    <t>Should be within the combined rounding tolerance of the two ratios.</t>
  </si>
  <si>
    <t>F. NOT AVAILABLE in this source (flagged - never estimated silently)</t>
  </si>
  <si>
    <t>Status</t>
  </si>
  <si>
    <t>Where it would come from</t>
  </si>
  <si>
    <t>What the PDF has instead</t>
  </si>
  <si>
    <t>Treatment in this model</t>
  </si>
  <si>
    <t>N01</t>
  </si>
  <si>
    <t>Net cash from operating activities (Rs crore)</t>
  </si>
  <si>
    <t>Not available in source</t>
  </si>
  <si>
    <t>Cash flow statement</t>
  </si>
  <si>
    <t>Only the ratio 'Operating cash flows / revenue' (p.1) is printed.</t>
  </si>
  <si>
    <t>Approximated in the model from the rounded ratio and labelled DERIVED with a rounding range.</t>
  </si>
  <si>
    <t>N02</t>
  </si>
  <si>
    <t>Free cash flow (reported)</t>
  </si>
  <si>
    <t>Cash flow statement / results release</t>
  </si>
  <si>
    <t>Not in the file.</t>
  </si>
  <si>
    <t>Approximated as derived OCF minus the file's capital expenditure, with range.</t>
  </si>
  <si>
    <t>N03</t>
  </si>
  <si>
    <t>Total current assets</t>
  </si>
  <si>
    <t>Balance sheet</t>
  </si>
  <si>
    <t>Not in the file (only 'net current assets').</t>
  </si>
  <si>
    <t>Current ratio NOT calculated.</t>
  </si>
  <si>
    <t>N04</t>
  </si>
  <si>
    <t>Total current liabilities</t>
  </si>
  <si>
    <t>Current ratio, cash ratio, expanded cash coverage and OCF ratio NOT calculated.</t>
  </si>
  <si>
    <t>N05</t>
  </si>
  <si>
    <t>Unearned revenue, trade payables and other current liability lines</t>
  </si>
  <si>
    <t>Balance sheet and notes</t>
  </si>
  <si>
    <t>Cannot analyse what drives short-term obligations.</t>
  </si>
  <si>
    <t>N06</t>
  </si>
  <si>
    <t>Split of investments between current and non-current</t>
  </si>
  <si>
    <t>Balance sheet / investment note</t>
  </si>
  <si>
    <t>Combined line only.</t>
  </si>
  <si>
    <t>Cash + investments is a broad measure, not a current-asset measure.</t>
  </si>
  <si>
    <t>N07</t>
  </si>
  <si>
    <t>Dividends paid, buy-backs, lease payments, tax paid (Rs crore)</t>
  </si>
  <si>
    <t>Only the dividend payout ratio is printed.</t>
  </si>
  <si>
    <t>Uses of cash cannot be itemised; only an unexplained residual is shown.</t>
  </si>
  <si>
    <t>N08</t>
  </si>
  <si>
    <t>Interest received / treasury income</t>
  </si>
  <si>
    <t>Only 'other income / revenue' is printed.</t>
  </si>
  <si>
    <t>Treasury yield on cash and investments NOT calculated.</t>
  </si>
  <si>
    <t>N09</t>
  </si>
  <si>
    <t>Capital commitments, contingent liabilities, credit lines</t>
  </si>
  <si>
    <t>Notes to the financial statements</t>
  </si>
  <si>
    <t>Forward-looking cash calls not assessed.</t>
  </si>
  <si>
    <t>N10</t>
  </si>
  <si>
    <t>Daily or intra-year cash balances and management forecasts</t>
  </si>
  <si>
    <t>Internal treasury data</t>
  </si>
  <si>
    <t>Never published in annual reports.</t>
  </si>
  <si>
    <t>Out of scope for any public-data analysis.</t>
  </si>
  <si>
    <t>Trend Analysis</t>
  </si>
  <si>
    <t>Year-on-year change, two-year compound growth and a formula-driven reading of each direction. Rows marked DERIVED are approximate (see Financial Calculations, Part E).</t>
  </si>
  <si>
    <t>Part 1 - Rupee amounts (₹ crore): growth rates</t>
  </si>
  <si>
    <t>FY23</t>
  </si>
  <si>
    <t>FY24</t>
  </si>
  <si>
    <t>FY25</t>
  </si>
  <si>
    <t>YoY FY24</t>
  </si>
  <si>
    <t>YoY FY25</t>
  </si>
  <si>
    <t>2-yr CAGR</t>
  </si>
  <si>
    <t>Pattern</t>
  </si>
  <si>
    <t>Higher is</t>
  </si>
  <si>
    <t>Two-year signal</t>
  </si>
  <si>
    <t>Better</t>
  </si>
  <si>
    <t>Profit after tax</t>
  </si>
  <si>
    <t>T05</t>
  </si>
  <si>
    <t>Neutral</t>
  </si>
  <si>
    <t>T06</t>
  </si>
  <si>
    <t>T07</t>
  </si>
  <si>
    <t>T08</t>
  </si>
  <si>
    <t>T09</t>
  </si>
  <si>
    <t>T10</t>
  </si>
  <si>
    <t>T11</t>
  </si>
  <si>
    <t>Worse</t>
  </si>
  <si>
    <t>T12</t>
  </si>
  <si>
    <t>Operating cash flow - central</t>
  </si>
  <si>
    <t>T13</t>
  </si>
  <si>
    <t>Free cash flow - central</t>
  </si>
  <si>
    <t>Part 2 - Ratios: change in percentage points (pp), days or times</t>
  </si>
  <si>
    <t>Δ FY24</t>
  </si>
  <si>
    <t>Δ FY25</t>
  </si>
  <si>
    <t>Δ FY23→FY25</t>
  </si>
  <si>
    <t>T14</t>
  </si>
  <si>
    <t>T15</t>
  </si>
  <si>
    <t>Free cash flow margin</t>
  </si>
  <si>
    <t>T16</t>
  </si>
  <si>
    <t>Cash conversion: OCF ÷ PAT</t>
  </si>
  <si>
    <t>T17</t>
  </si>
  <si>
    <t>Cash and investments ÷ total assets (company)</t>
  </si>
  <si>
    <t>T18</t>
  </si>
  <si>
    <t>Cash and investments ÷ revenue (company)</t>
  </si>
  <si>
    <t>T19</t>
  </si>
  <si>
    <t>Cash and equivalents ÷ (cash + investments)</t>
  </si>
  <si>
    <t>T20</t>
  </si>
  <si>
    <t>T21</t>
  </si>
  <si>
    <t>T22</t>
  </si>
  <si>
    <t>T23</t>
  </si>
  <si>
    <t>T24</t>
  </si>
  <si>
    <t>T25</t>
  </si>
  <si>
    <t>Day's sales outstanding (printed, USD terms)</t>
  </si>
  <si>
    <t>T26</t>
  </si>
  <si>
    <t>T27</t>
  </si>
  <si>
    <t>T28</t>
  </si>
  <si>
    <t>T29</t>
  </si>
  <si>
    <t>Part 3 - Verdicts (formula-driven)</t>
  </si>
  <si>
    <t>#</t>
  </si>
  <si>
    <t>Question</t>
  </si>
  <si>
    <t>Verdict</t>
  </si>
  <si>
    <t>Evidence (live from the model)</t>
  </si>
  <si>
    <t>V1</t>
  </si>
  <si>
    <t>Is operating cash generation improving?</t>
  </si>
  <si>
    <t>V2</t>
  </si>
  <si>
    <t>Is free cash flow after capex improving?</t>
  </si>
  <si>
    <t>V3</t>
  </si>
  <si>
    <t>Is the cash + investments buffer growing relative to the balance sheet?</t>
  </si>
  <si>
    <t>V4</t>
  </si>
  <si>
    <t>Does the buffer cover more days of operating costs?</t>
  </si>
  <si>
    <t>V5</t>
  </si>
  <si>
    <t>Is the capex burden changing? (lower = lighter)</t>
  </si>
  <si>
    <t>V6</t>
  </si>
  <si>
    <t>Does the company carry debt?</t>
  </si>
  <si>
    <t>The verdicts compare FY23, FY24 and FY25 only. 'Mixed' means the metric did not move in the same direction in both years. Verdicts on DERIVED rows inherit the approximation.</t>
  </si>
  <si>
    <t>INFOSYS LIMITED — CASH FLOW &amp; LIQUIDITY ANALYSIS</t>
  </si>
  <si>
    <t>FY2022-23 to FY2024-25 · ₹ crore · single source: Infosys 'Additional Information' (Annual Report 2024-25 extract). OCF and FCF are DERIVED approximations from a printed ratio; current/cash ratios are not available in this source.</t>
  </si>
  <si>
    <t>FY25 operating cash flow (derived, approx.)</t>
  </si>
  <si>
    <t>FY25 free cash flow (derived, approx.)</t>
  </si>
  <si>
    <t>FY25 cash + investments</t>
  </si>
  <si>
    <t>FY25 days of operating costs covered</t>
  </si>
  <si>
    <t>Headline figures are linked to 'Financial Calculations' - nothing is typed twice. Orange-shaded numbers are derived approximations.</t>
  </si>
  <si>
    <t>Indicator</t>
  </si>
  <si>
    <t>Chart data (links to the table at left)</t>
  </si>
  <si>
    <t>Cash and cash equivalents (₹ crore)</t>
  </si>
  <si>
    <t>Investments, current + non-current (₹ crore)</t>
  </si>
  <si>
    <t>Cash + investments (₹ crore)</t>
  </si>
  <si>
    <t>Operating cash flow (derived)</t>
  </si>
  <si>
    <t>Operating cash flow - central (₹ crore)</t>
  </si>
  <si>
    <t>DERIVED from printed OCF ÷ revenue (approx.)</t>
  </si>
  <si>
    <t>Capital expenditure (₹ crore)</t>
  </si>
  <si>
    <t>Free cash flow (derived)</t>
  </si>
  <si>
    <t>Free cash flow - central (₹ crore)</t>
  </si>
  <si>
    <t>DERIVED (approx.)</t>
  </si>
  <si>
    <t>Operating cash flow ÷ revenue</t>
  </si>
  <si>
    <t>Cash and investments ÷ total assets</t>
  </si>
  <si>
    <t>Reported ratio (company)</t>
  </si>
  <si>
    <t>Cash and investments ÷ revenue</t>
  </si>
  <si>
    <t>Days of operating costs covered</t>
  </si>
  <si>
    <t>Net current assets (₹ crore)</t>
  </si>
  <si>
    <t>Observations (text updates with the numbers)</t>
  </si>
  <si>
    <t>FCF vs rise in cash + investments (FY24-FY25)</t>
  </si>
  <si>
    <t>Rise in cash + investments</t>
  </si>
  <si>
    <t>Residual (not itemised in source)</t>
  </si>
  <si>
    <t>Charts show three years only; DERIVED series are approximations and carry a rounding range (see Financial Calculations, Part E). Palette: blue / orange / green.</t>
  </si>
  <si>
    <t>Data Sources and Audit Checks</t>
  </si>
  <si>
    <t>Part A: the one source document. Part B: formula-based integrity checks. Part C: limitations that apply to every result.</t>
  </si>
  <si>
    <t>OVERALL AUDIT STATUS</t>
  </si>
  <si>
    <t>Part A - Source register</t>
  </si>
  <si>
    <t>Code</t>
  </si>
  <si>
    <t>Document</t>
  </si>
  <si>
    <t>Pages</t>
  </si>
  <si>
    <t>What it provides to this model</t>
  </si>
  <si>
    <t>S1</t>
  </si>
  <si>
    <t>Infosys Limited - Additional Information (extract of Annual Report 2024-25) - file: infosys.pdf</t>
  </si>
  <si>
    <t>p.1 ratio analysis; p.2 charts of the same ratios; p.3 employee and revenue/PAT growth table; p.4 12-year Historical Data table; p.5-p.7 shareholder information (not used).</t>
  </si>
  <si>
    <t>Accounting basis: Ratio table (p.1) states: 'based on consolidated IFRS INR financial statements'. Revenue/PAT table (p.3) is headed IFRS (INR crore). The Historical Data table (p.4) is headed 'In Rs crore' and does not name the accounting basis.</t>
  </si>
  <si>
    <t>No other document, website or data provider was used for any number in this workbook. Official page for the report: infosys.com → Investors → Reports &amp; filings (verify the PDF against it before citing).</t>
  </si>
  <si>
    <t>Part B - Integrity checks</t>
  </si>
  <si>
    <t>Tolerance</t>
  </si>
  <si>
    <t>Result</t>
  </si>
  <si>
    <t>Why it matters</t>
  </si>
  <si>
    <t>PBT − tax − PAT = 0</t>
  </si>
  <si>
    <t>Income statement sub-totals agree.</t>
  </si>
  <si>
    <t>PAT − (non-controlling + owners) = 0</t>
  </si>
  <si>
    <t>Profit attribution adds up.</t>
  </si>
  <si>
    <t>Revenue: p.4 table − p.3 table = 0</t>
  </si>
  <si>
    <t>Same number on two pages of the source.</t>
  </si>
  <si>
    <t>PAT: p.4 table − p.3 table = 0</t>
  </si>
  <si>
    <t>PBT − (operating profit + other income − finance cost), ₹ crore</t>
  </si>
  <si>
    <t>Other income is rebuilt from a rounded ratio, so a small gap is expected; tolerance = rounding limit on revenue.</t>
  </si>
  <si>
    <t>Operating margin: ROUND(calc, 3) − printed</t>
  </si>
  <si>
    <t>Printed ratio is reproducible from the rupee figures.</t>
  </si>
  <si>
    <t>PAT margin: ROUND(calc, 3) − printed</t>
  </si>
  <si>
    <t>As above.</t>
  </si>
  <si>
    <t>Effective tax rate: ROUND(calc, 3) − printed</t>
  </si>
  <si>
    <t>Tax ÷ revenue: ROUND(calc, 3) − printed</t>
  </si>
  <si>
    <t>PBT ÷ revenue: ROUND(calc, 3) − printed</t>
  </si>
  <si>
    <t>Revenue growth: ROUND(calc, 2) − printed</t>
  </si>
  <si>
    <t>Printed growth matches the rupee series (uses prior-year revenue from p.3/p.4).</t>
  </si>
  <si>
    <t>PAT growth: ROUND(calc, 2) − printed</t>
  </si>
  <si>
    <t>Market cap ÷ revenue: ROUND(calc, 1) − printed</t>
  </si>
  <si>
    <t>Ties the market-capitalisation row to the ratio table.</t>
  </si>
  <si>
    <t>Cash + investments ÷ total assets: own − company (pp)</t>
  </si>
  <si>
    <t>Own measure should sit within 1 pp of the company's narrower measure.</t>
  </si>
  <si>
    <t>Cash + investments ÷ revenue: own − company (pp)</t>
  </si>
  <si>
    <t>Company cash &amp; investments: ratio×assets vs ratio×revenue</t>
  </si>
  <si>
    <t>Two printed ratios imply the same rupee pool within rounding - supports using them.</t>
  </si>
  <si>
    <t>Cash + investments not above total assets (excess)</t>
  </si>
  <si>
    <t>Plausibility.</t>
  </si>
  <si>
    <t>Net current assets not above total assets (excess)</t>
  </si>
  <si>
    <t>Equity not above total assets (excess)</t>
  </si>
  <si>
    <t>Derived OCF range ordered (low ≤ central ≤ high; violation)</t>
  </si>
  <si>
    <t>Range logic.</t>
  </si>
  <si>
    <t>Derived FCF not above derived OCF (excess)</t>
  </si>
  <si>
    <t>Capex is positive.</t>
  </si>
  <si>
    <t>Debt = 0 (source shows nil)</t>
  </si>
  <si>
    <t>Confirms the debt-free reading used in the narrative.</t>
  </si>
  <si>
    <t>Completeness: numeric inputs on Raw Data − expected count</t>
  </si>
  <si>
    <t>Raw Data should contain 132 numeric inputs; shown in the first column only.</t>
  </si>
  <si>
    <t>Part C - Limitations that apply to every result</t>
  </si>
  <si>
    <t>Accounting basis: p.1 says the ratios use consolidated IFRS INR statements; the Historical Data table (p.4) does not name its basis. All figures are used as printed.</t>
  </si>
  <si>
    <t>Rounding: ratios are printed to one decimal place (0.1 percentage point), so any rupee figure rebuilt from a ratio can be off by up to +/-0.05 percentage point of the base (about +/-Rs 80 crore on FY25 revenue).</t>
  </si>
  <si>
    <t>Non-IFRS measure: the company's 'cash and investments' (p.1) excludes some investments; footnotes on p.1 and p.2 word the exclusion slightly differently.</t>
  </si>
  <si>
    <t>Investments are shown as one combined current + non-current line, so cash + investments cannot be treated as a current-asset (short-term) measure.</t>
  </si>
  <si>
    <t>Capital expenditure: the file does not say whether it is cash paid or additions in the year, or whether it is net of disposals.</t>
  </si>
  <si>
    <t>USD-term ratios: day's sales outstanding and return on equity are computed in US dollars by the company and cannot be reproduced from the rupee figures.</t>
  </si>
  <si>
    <t>Three years give only two year-on-year changes; the FY2024-25 jump in operating cash flow ratio may include one-off working-capital or tax timing effects that the file does not disclose.</t>
  </si>
  <si>
    <t>Manual verification step (recommended): open the PDF and tick each Raw Data row against the page named in column H. The audit checks above prove internal consistency, not that a digit was typed correctly.</t>
  </si>
  <si>
    <t>Prepared by Bhargava C as an independent academic project.see README. Not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</si>
</sst>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
    <numFmt numFmtId="165" formatCode="0.0%"/>
    <numFmt numFmtId="166" formatCode="0.0\x"/>
    <numFmt numFmtId="167" formatCode="0.0%;\(0.0%\);\–"/>
    <numFmt numFmtId="168" formatCode="\+0.0&quot; pp&quot;;\-0.0&quot; pp&quot;;0.0&quot; pp&quot;"/>
    <numFmt numFmtId="169" formatCode="0.00\x"/>
    <numFmt numFmtId="170" formatCode="\+0.0%;\-0.0%;0.0%"/>
    <numFmt numFmtId="171" formatCode="\+0.00\x;\-0.00\x;0.00\x"/>
    <numFmt numFmtId="172" formatCode="\+0&quot; days&quot;;\-0&quot; days&quot;;0&quot; days&quot;"/>
    <numFmt numFmtId="173" formatCode="\+0.0\x;\-0.0\x;0.0\x"/>
    <numFmt numFmtId="174" formatCode="&quot;₹ &quot;#,##0&quot; cr&quot;"/>
    <numFmt numFmtId="175" formatCode="0&quot; days&quot;"/>
    <numFmt numFmtId="176" formatCode="0.0000"/>
    <numFmt numFmtId="177" formatCode="#,##0.0"/>
    <numFmt numFmtId="178" formatCode="#,##0.0000"/>
  </numFmts>
  <fonts count="29" x14ac:knownFonts="1">
    <font>
      <sz val="11"/>
      <color theme="1"/>
      <name val="Calibri"/>
      <family val="2"/>
      <charset val="1"/>
    </font>
    <font>
      <b/>
      <sz val="15"/>
      <color rgb="FF1F3864"/>
      <name val="Arial"/>
      <family val="2"/>
    </font>
    <font>
      <i/>
      <sz val="9"/>
      <color rgb="FF52514E"/>
      <name val="Arial"/>
      <family val="2"/>
    </font>
    <font>
      <b/>
      <sz val="10"/>
      <color rgb="FF000000"/>
      <name val="Arial"/>
      <family val="2"/>
    </font>
    <font>
      <b/>
      <sz val="10"/>
      <color rgb="FF1F3864"/>
      <name val="Arial"/>
      <family val="2"/>
    </font>
    <font>
      <sz val="10"/>
      <color rgb="FF1B1B1B"/>
      <name val="Arial"/>
      <family val="2"/>
    </font>
    <font>
      <sz val="9"/>
      <color rgb="FF52514E"/>
      <name val="Arial"/>
      <family val="2"/>
    </font>
    <font>
      <b/>
      <sz val="9"/>
      <color rgb="FFFFFFFF"/>
      <name val="Arial"/>
      <family val="2"/>
    </font>
    <font>
      <sz val="10"/>
      <color rgb="FF000000"/>
      <name val="Arial"/>
      <family val="2"/>
    </font>
    <font>
      <sz val="10"/>
      <color rgb="FF0000FF"/>
      <name val="Arial"/>
      <family val="2"/>
    </font>
    <font>
      <sz val="10"/>
      <color rgb="FF008000"/>
      <name val="Arial"/>
      <family val="2"/>
    </font>
    <font>
      <b/>
      <sz val="9"/>
      <color rgb="FF52514E"/>
      <name val="Arial"/>
      <family val="2"/>
    </font>
    <font>
      <b/>
      <sz val="9"/>
      <color rgb="FFC00000"/>
      <name val="Arial"/>
      <family val="2"/>
    </font>
    <font>
      <b/>
      <sz val="11"/>
      <color rgb="FF1F3864"/>
      <name val="Arial"/>
      <family val="2"/>
    </font>
    <font>
      <sz val="9"/>
      <color rgb="FF000000"/>
      <name val="Arial"/>
      <family val="2"/>
    </font>
    <font>
      <sz val="9"/>
      <color rgb="FF0000FF"/>
      <name val="Arial"/>
      <family val="2"/>
    </font>
    <font>
      <b/>
      <sz val="9"/>
      <color rgb="FF000000"/>
      <name val="Arial"/>
      <family val="2"/>
    </font>
    <font>
      <b/>
      <sz val="17"/>
      <color rgb="FF1F3864"/>
      <name val="Arial"/>
      <family val="2"/>
    </font>
    <font>
      <sz val="8"/>
      <color rgb="FF52514E"/>
      <name val="Arial"/>
      <family val="2"/>
    </font>
    <font>
      <i/>
      <sz val="8"/>
      <color rgb="FF52514E"/>
      <name val="Arial"/>
      <family val="2"/>
    </font>
    <font>
      <sz val="9"/>
      <color rgb="FF008000"/>
      <name val="Arial"/>
      <family val="2"/>
    </font>
    <font>
      <b/>
      <sz val="8"/>
      <color rgb="FF52514E"/>
      <name val="Arial"/>
      <family val="2"/>
    </font>
    <font>
      <sz val="9"/>
      <color rgb="FF1B1B1B"/>
      <name val="Arial"/>
      <family val="2"/>
    </font>
    <font>
      <b/>
      <sz val="11"/>
      <color rgb="FF000000"/>
      <name val="Arial"/>
      <family val="2"/>
    </font>
    <font>
      <b/>
      <sz val="10"/>
      <name val="Arial"/>
      <family val="2"/>
    </font>
    <font>
      <b/>
      <sz val="20"/>
      <name val="Arial"/>
      <family val="2"/>
    </font>
    <font>
      <b/>
      <sz val="20"/>
      <color theme="1"/>
      <name val="Arial"/>
      <family val="2"/>
    </font>
    <font>
      <b/>
      <sz val="11"/>
      <color theme="1"/>
      <name val="Arial"/>
      <family val="2"/>
    </font>
    <font>
      <b/>
      <sz val="10"/>
      <color theme="1"/>
      <name val="Arial"/>
      <family val="2"/>
    </font>
  </fonts>
  <fills count="10">
    <fill>
      <patternFill patternType="none"/>
    </fill>
    <fill>
      <patternFill patternType="gray125"/>
    </fill>
    <fill>
      <patternFill patternType="solid">
        <fgColor rgb="FF1F3864"/>
        <bgColor rgb="FF333399"/>
      </patternFill>
    </fill>
    <fill>
      <patternFill patternType="solid">
        <fgColor rgb="FFDCE6F1"/>
        <bgColor rgb="FFE1E0D9"/>
      </patternFill>
    </fill>
    <fill>
      <patternFill patternType="solid">
        <fgColor rgb="FFFFF2E5"/>
        <bgColor rgb="FFFDECEC"/>
      </patternFill>
    </fill>
    <fill>
      <patternFill patternType="solid">
        <fgColor rgb="FFFDECEC"/>
        <bgColor rgb="FFFFF2E5"/>
      </patternFill>
    </fill>
    <fill>
      <patternFill patternType="solid">
        <fgColor rgb="FFF2F2F2"/>
        <bgColor rgb="FFF4F7FB"/>
      </patternFill>
    </fill>
    <fill>
      <patternFill patternType="solid">
        <fgColor rgb="FFF4F7FB"/>
        <bgColor rgb="FFF2F2F2"/>
      </patternFill>
    </fill>
    <fill>
      <patternFill patternType="solid">
        <fgColor theme="0"/>
        <bgColor indexed="64"/>
      </patternFill>
    </fill>
    <fill>
      <patternFill patternType="solid">
        <fgColor theme="1" tint="0.499984740745262"/>
        <bgColor rgb="FF333399"/>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hair">
        <color rgb="FFD9D9D9"/>
      </bottom>
      <diagonal/>
    </border>
  </borders>
  <cellStyleXfs count="1">
    <xf numFmtId="0" fontId="0" fillId="0" borderId="0"/>
  </cellStyleXfs>
  <cellXfs count="91">
    <xf numFmtId="0" fontId="0" fillId="0" borderId="0" xfId="0"/>
    <xf numFmtId="0" fontId="21" fillId="0" borderId="2" xfId="0" applyFont="1" applyBorder="1" applyAlignment="1">
      <alignment vertical="center" indent="1"/>
    </xf>
    <xf numFmtId="0" fontId="18" fillId="0" borderId="2" xfId="0" applyFont="1" applyBorder="1" applyAlignment="1">
      <alignment vertical="center" indent="1"/>
    </xf>
    <xf numFmtId="0" fontId="14" fillId="0" borderId="2" xfId="0" applyFont="1" applyBorder="1" applyAlignment="1">
      <alignment vertical="center"/>
    </xf>
    <xf numFmtId="0" fontId="18" fillId="7" borderId="0" xfId="0" applyFont="1" applyFill="1" applyAlignment="1">
      <alignment horizontal="left" vertical="center" wrapText="1" indent="1"/>
    </xf>
    <xf numFmtId="0" fontId="11" fillId="7" borderId="0" xfId="0" applyFont="1" applyFill="1" applyAlignment="1">
      <alignment horizontal="left" vertical="center" wrapText="1" indent="1"/>
    </xf>
    <xf numFmtId="0" fontId="2" fillId="0" borderId="0" xfId="0" applyFont="1" applyAlignment="1">
      <alignment vertical="top" wrapText="1"/>
    </xf>
    <xf numFmtId="0" fontId="17" fillId="0" borderId="0" xfId="0" applyFont="1" applyAlignment="1">
      <alignment vertical="center"/>
    </xf>
    <xf numFmtId="0" fontId="6" fillId="0" borderId="0" xfId="0" applyFont="1" applyAlignment="1">
      <alignment vertical="center" wrapText="1"/>
    </xf>
    <xf numFmtId="0" fontId="3" fillId="6" borderId="0" xfId="0" applyFont="1" applyFill="1" applyAlignment="1">
      <alignment horizontal="center" vertical="center" wrapText="1"/>
    </xf>
    <xf numFmtId="0" fontId="12" fillId="5" borderId="0" xfId="0" applyFont="1" applyFill="1" applyAlignment="1">
      <alignment horizontal="center" vertical="center" wrapText="1"/>
    </xf>
    <xf numFmtId="0" fontId="1" fillId="0" borderId="0" xfId="0" applyFont="1"/>
    <xf numFmtId="0" fontId="2" fillId="0" borderId="0" xfId="0" applyFont="1"/>
    <xf numFmtId="0" fontId="5" fillId="0" borderId="0" xfId="0" applyFont="1" applyAlignment="1">
      <alignment vertical="top" wrapText="1"/>
    </xf>
    <xf numFmtId="0" fontId="6" fillId="0" borderId="0" xfId="0" applyFont="1"/>
    <xf numFmtId="0" fontId="4" fillId="3" borderId="0" xfId="0" applyFont="1" applyFill="1"/>
    <xf numFmtId="0" fontId="0" fillId="3" borderId="0" xfId="0" applyFill="1"/>
    <xf numFmtId="0" fontId="8" fillId="0" borderId="0" xfId="0" applyFont="1"/>
    <xf numFmtId="164" fontId="9" fillId="0" borderId="0" xfId="0" applyNumberFormat="1" applyFont="1" applyAlignment="1">
      <alignment horizontal="right" vertical="center"/>
    </xf>
    <xf numFmtId="0" fontId="6" fillId="0" borderId="0" xfId="0" applyFont="1" applyAlignment="1">
      <alignment horizontal="center"/>
    </xf>
    <xf numFmtId="0" fontId="6" fillId="0" borderId="0" xfId="0" applyFont="1" applyAlignment="1">
      <alignment vertical="center" wrapText="1"/>
    </xf>
    <xf numFmtId="165" fontId="9" fillId="0" borderId="0" xfId="0" applyNumberFormat="1" applyFont="1" applyAlignment="1">
      <alignment horizontal="right" vertical="center"/>
    </xf>
    <xf numFmtId="1" fontId="9" fillId="0" borderId="0" xfId="0" applyNumberFormat="1" applyFont="1" applyAlignment="1">
      <alignment horizontal="right" vertical="center"/>
    </xf>
    <xf numFmtId="166" fontId="9" fillId="0" borderId="0" xfId="0" applyNumberFormat="1" applyFont="1" applyAlignment="1">
      <alignment horizontal="right" vertical="center"/>
    </xf>
    <xf numFmtId="2" fontId="9" fillId="0" borderId="0" xfId="0" applyNumberFormat="1" applyFont="1" applyAlignment="1">
      <alignment horizontal="right" vertical="center"/>
    </xf>
    <xf numFmtId="3" fontId="9" fillId="0" borderId="0" xfId="0" applyNumberFormat="1" applyFont="1" applyAlignment="1">
      <alignment horizontal="right" vertical="center"/>
    </xf>
    <xf numFmtId="9" fontId="9" fillId="0" borderId="0" xfId="0" applyNumberFormat="1" applyFont="1" applyAlignment="1">
      <alignment horizontal="right" vertical="center"/>
    </xf>
    <xf numFmtId="0" fontId="9" fillId="0" borderId="0" xfId="0" applyFont="1" applyAlignment="1">
      <alignment horizontal="center"/>
    </xf>
    <xf numFmtId="10" fontId="9" fillId="0" borderId="0" xfId="0" applyNumberFormat="1" applyFont="1" applyAlignment="1">
      <alignment horizontal="right" vertical="center"/>
    </xf>
    <xf numFmtId="0" fontId="8" fillId="0" borderId="0" xfId="0" applyFont="1" applyAlignment="1">
      <alignment vertical="center" wrapText="1"/>
    </xf>
    <xf numFmtId="164" fontId="10" fillId="0" borderId="0" xfId="0" applyNumberFormat="1" applyFont="1" applyAlignment="1">
      <alignment horizontal="right" vertical="center"/>
    </xf>
    <xf numFmtId="164" fontId="8" fillId="0" borderId="0" xfId="0" applyNumberFormat="1" applyFont="1" applyAlignment="1">
      <alignment horizontal="right" vertical="center"/>
    </xf>
    <xf numFmtId="167" fontId="8" fillId="0" borderId="0" xfId="0" applyNumberFormat="1" applyFont="1" applyAlignment="1">
      <alignment horizontal="right" vertical="center"/>
    </xf>
    <xf numFmtId="167" fontId="10" fillId="0" borderId="0" xfId="0" applyNumberFormat="1" applyFont="1" applyAlignment="1">
      <alignment horizontal="right" vertical="center"/>
    </xf>
    <xf numFmtId="168" fontId="8" fillId="0" borderId="0" xfId="0" applyNumberFormat="1" applyFont="1" applyAlignment="1">
      <alignment horizontal="right" vertical="center"/>
    </xf>
    <xf numFmtId="169" fontId="8" fillId="0" borderId="0" xfId="0" applyNumberFormat="1" applyFont="1" applyAlignment="1">
      <alignment horizontal="right" vertical="center"/>
    </xf>
    <xf numFmtId="166" fontId="8" fillId="0" borderId="0" xfId="0" applyNumberFormat="1" applyFont="1" applyAlignment="1">
      <alignment horizontal="right" vertical="center"/>
    </xf>
    <xf numFmtId="1" fontId="8" fillId="0" borderId="0" xfId="0" applyNumberFormat="1" applyFont="1" applyAlignment="1">
      <alignment horizontal="right" vertical="center"/>
    </xf>
    <xf numFmtId="1" fontId="10" fillId="0" borderId="0" xfId="0" applyNumberFormat="1" applyFont="1" applyAlignment="1">
      <alignment horizontal="right" vertical="center"/>
    </xf>
    <xf numFmtId="164" fontId="8" fillId="4" borderId="0" xfId="0" applyNumberFormat="1" applyFont="1" applyFill="1" applyAlignment="1">
      <alignment horizontal="right" vertical="center"/>
    </xf>
    <xf numFmtId="0" fontId="11" fillId="0" borderId="0" xfId="0" applyFont="1"/>
    <xf numFmtId="167" fontId="8" fillId="4" borderId="0" xfId="0" applyNumberFormat="1" applyFont="1" applyFill="1" applyAlignment="1">
      <alignment horizontal="right" vertical="center"/>
    </xf>
    <xf numFmtId="169" fontId="8" fillId="4" borderId="0" xfId="0" applyNumberFormat="1" applyFont="1" applyFill="1" applyAlignment="1">
      <alignment horizontal="right" vertical="center"/>
    </xf>
    <xf numFmtId="0" fontId="2" fillId="0" borderId="0" xfId="0" applyFont="1" applyAlignment="1">
      <alignment horizontal="right" vertical="center"/>
    </xf>
    <xf numFmtId="0" fontId="7" fillId="2" borderId="0" xfId="0" applyFont="1" applyFill="1" applyAlignment="1">
      <alignment horizontal="center" vertical="center" wrapText="1"/>
    </xf>
    <xf numFmtId="0" fontId="13" fillId="0" borderId="0" xfId="0" applyFont="1"/>
    <xf numFmtId="170" fontId="8" fillId="0" borderId="0" xfId="0" applyNumberFormat="1" applyFont="1" applyAlignment="1">
      <alignment horizontal="right" vertical="center"/>
    </xf>
    <xf numFmtId="0" fontId="14" fillId="0" borderId="0" xfId="0" applyFont="1"/>
    <xf numFmtId="0" fontId="15" fillId="0" borderId="0" xfId="0" applyFont="1" applyAlignment="1">
      <alignment horizontal="center"/>
    </xf>
    <xf numFmtId="0" fontId="16" fillId="0" borderId="0" xfId="0" applyFont="1" applyAlignment="1">
      <alignment horizontal="center"/>
    </xf>
    <xf numFmtId="164" fontId="10" fillId="4" borderId="0" xfId="0" applyNumberFormat="1" applyFont="1" applyFill="1" applyAlignment="1">
      <alignment horizontal="right" vertical="center"/>
    </xf>
    <xf numFmtId="167" fontId="10" fillId="4" borderId="0" xfId="0" applyNumberFormat="1" applyFont="1" applyFill="1" applyAlignment="1">
      <alignment horizontal="right" vertical="center"/>
    </xf>
    <xf numFmtId="169" fontId="10" fillId="4" borderId="0" xfId="0" applyNumberFormat="1" applyFont="1" applyFill="1" applyAlignment="1">
      <alignment horizontal="right" vertical="center"/>
    </xf>
    <xf numFmtId="171" fontId="8" fillId="0" borderId="0" xfId="0" applyNumberFormat="1" applyFont="1" applyAlignment="1">
      <alignment horizontal="right" vertical="center"/>
    </xf>
    <xf numFmtId="172" fontId="8" fillId="0" borderId="0" xfId="0" applyNumberFormat="1" applyFont="1" applyAlignment="1">
      <alignment horizontal="right" vertical="center"/>
    </xf>
    <xf numFmtId="166" fontId="10" fillId="0" borderId="0" xfId="0" applyNumberFormat="1" applyFont="1" applyAlignment="1">
      <alignment horizontal="right" vertical="center"/>
    </xf>
    <xf numFmtId="173" fontId="8" fillId="0" borderId="0" xfId="0" applyNumberFormat="1" applyFont="1" applyAlignment="1">
      <alignment horizontal="right" vertical="center"/>
    </xf>
    <xf numFmtId="0" fontId="19" fillId="0" borderId="0" xfId="0" applyFont="1"/>
    <xf numFmtId="164" fontId="20" fillId="0" borderId="2" xfId="0" applyNumberFormat="1" applyFont="1" applyBorder="1" applyAlignment="1">
      <alignment horizontal="right" vertical="center"/>
    </xf>
    <xf numFmtId="0" fontId="18" fillId="0" borderId="0" xfId="0" applyFont="1"/>
    <xf numFmtId="164" fontId="18" fillId="0" borderId="0" xfId="0" applyNumberFormat="1" applyFont="1" applyAlignment="1">
      <alignment horizontal="right" vertical="center"/>
    </xf>
    <xf numFmtId="164" fontId="20" fillId="4" borderId="2" xfId="0" applyNumberFormat="1" applyFont="1" applyFill="1" applyBorder="1" applyAlignment="1">
      <alignment horizontal="right" vertical="center"/>
    </xf>
    <xf numFmtId="167" fontId="18" fillId="0" borderId="0" xfId="0" applyNumberFormat="1" applyFont="1" applyAlignment="1">
      <alignment horizontal="right" vertical="center"/>
    </xf>
    <xf numFmtId="167" fontId="20" fillId="0" borderId="2" xfId="0" applyNumberFormat="1" applyFont="1" applyBorder="1" applyAlignment="1">
      <alignment horizontal="right" vertical="center"/>
    </xf>
    <xf numFmtId="1" fontId="18" fillId="0" borderId="0" xfId="0" applyNumberFormat="1" applyFont="1" applyAlignment="1">
      <alignment horizontal="right" vertical="center"/>
    </xf>
    <xf numFmtId="1" fontId="20" fillId="0" borderId="2" xfId="0" applyNumberFormat="1" applyFont="1" applyBorder="1" applyAlignment="1">
      <alignment horizontal="right" vertical="center"/>
    </xf>
    <xf numFmtId="0" fontId="8" fillId="0" borderId="0" xfId="0" applyFont="1" applyAlignment="1">
      <alignment horizontal="center"/>
    </xf>
    <xf numFmtId="0" fontId="14" fillId="0" borderId="0" xfId="0" applyFont="1" applyAlignment="1">
      <alignment vertical="center" wrapText="1"/>
    </xf>
    <xf numFmtId="3" fontId="14" fillId="0" borderId="0" xfId="0" applyNumberFormat="1" applyFont="1" applyAlignment="1">
      <alignment horizontal="right" vertical="center"/>
    </xf>
    <xf numFmtId="176" fontId="15" fillId="0" borderId="0" xfId="0" applyNumberFormat="1" applyFont="1" applyAlignment="1">
      <alignment horizontal="right" vertical="center"/>
    </xf>
    <xf numFmtId="177" fontId="14" fillId="0" borderId="0" xfId="0" applyNumberFormat="1" applyFont="1" applyAlignment="1">
      <alignment horizontal="right" vertical="center"/>
    </xf>
    <xf numFmtId="178" fontId="14" fillId="0" borderId="0" xfId="0" applyNumberFormat="1" applyFont="1" applyAlignment="1">
      <alignment horizontal="right" vertical="center"/>
    </xf>
    <xf numFmtId="176" fontId="14" fillId="0" borderId="0" xfId="0" applyNumberFormat="1" applyFont="1" applyAlignment="1">
      <alignment horizontal="right" vertical="center"/>
    </xf>
    <xf numFmtId="2" fontId="14" fillId="0" borderId="0" xfId="0" applyNumberFormat="1" applyFont="1" applyAlignment="1">
      <alignment horizontal="right" vertical="center"/>
    </xf>
    <xf numFmtId="0" fontId="22" fillId="0" borderId="0" xfId="0" applyFont="1" applyAlignment="1">
      <alignment vertical="center" wrapText="1"/>
    </xf>
    <xf numFmtId="0" fontId="23" fillId="0" borderId="0" xfId="0" applyFont="1"/>
    <xf numFmtId="0" fontId="2" fillId="0" borderId="0" xfId="0" applyFont="1" applyAlignment="1">
      <alignment vertical="center" wrapText="1"/>
    </xf>
    <xf numFmtId="0" fontId="14" fillId="0" borderId="0" xfId="0" applyFont="1" applyAlignment="1">
      <alignment vertical="center" wrapText="1"/>
    </xf>
    <xf numFmtId="0" fontId="24" fillId="0" borderId="0" xfId="0" applyFont="1" applyAlignment="1">
      <alignment vertical="top" wrapText="1"/>
    </xf>
    <xf numFmtId="0" fontId="24" fillId="8" borderId="0" xfId="0" applyFont="1" applyFill="1" applyAlignment="1">
      <alignment vertical="top" wrapText="1"/>
    </xf>
    <xf numFmtId="0" fontId="7" fillId="9" borderId="1" xfId="0" applyFont="1" applyFill="1" applyBorder="1" applyAlignment="1">
      <alignment horizontal="center" vertical="center" wrapText="1"/>
    </xf>
    <xf numFmtId="0" fontId="7" fillId="9" borderId="1" xfId="0" applyFont="1" applyFill="1" applyBorder="1"/>
    <xf numFmtId="0" fontId="7" fillId="9" borderId="0" xfId="0" applyFont="1" applyFill="1" applyAlignment="1">
      <alignment horizontal="center" vertical="center" wrapText="1"/>
    </xf>
    <xf numFmtId="0" fontId="7" fillId="9" borderId="1" xfId="0" applyFont="1" applyFill="1" applyBorder="1" applyAlignment="1">
      <alignment horizontal="center" vertical="center" wrapText="1"/>
    </xf>
    <xf numFmtId="0" fontId="7" fillId="9" borderId="0" xfId="0" applyFont="1" applyFill="1" applyAlignment="1">
      <alignment horizontal="center" vertical="center" wrapText="1"/>
    </xf>
    <xf numFmtId="0" fontId="7" fillId="9" borderId="0" xfId="0" applyFont="1" applyFill="1"/>
    <xf numFmtId="174" fontId="25" fillId="7" borderId="0" xfId="0" applyNumberFormat="1" applyFont="1" applyFill="1" applyAlignment="1">
      <alignment horizontal="left" vertical="center" indent="1"/>
    </xf>
    <xf numFmtId="174" fontId="26" fillId="7" borderId="0" xfId="0" applyNumberFormat="1" applyFont="1" applyFill="1" applyAlignment="1">
      <alignment horizontal="left" vertical="center" indent="1"/>
    </xf>
    <xf numFmtId="175" fontId="26" fillId="7" borderId="0" xfId="0" applyNumberFormat="1" applyFont="1" applyFill="1" applyAlignment="1">
      <alignment horizontal="left" vertical="center" indent="1"/>
    </xf>
    <xf numFmtId="0" fontId="27" fillId="0" borderId="0" xfId="0" applyFont="1"/>
    <xf numFmtId="0" fontId="28" fillId="3" borderId="0" xfId="0" applyFont="1" applyFill="1"/>
  </cellXfs>
  <cellStyles count="1">
    <cellStyle name="Normal" xfId="0" builtinId="0"/>
  </cellStyles>
  <dxfs count="3">
    <dxf>
      <font>
        <b/>
        <color rgb="FFC00000"/>
        <name val="Arial"/>
        <charset val="1"/>
      </font>
      <fill>
        <patternFill>
          <bgColor rgb="FFFDECEC"/>
        </patternFill>
      </fill>
    </dxf>
    <dxf>
      <font>
        <b/>
        <color rgb="FF2E7D32"/>
        <name val="Arial"/>
        <charset val="1"/>
      </font>
      <fill>
        <patternFill>
          <bgColor rgb="FFE2F0D9"/>
        </patternFill>
      </fill>
    </dxf>
    <dxf>
      <fill>
        <patternFill>
          <bgColor rgb="FFF2F2F2"/>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2E7D32"/>
      <rgbColor rgb="FFBFBFBF"/>
      <rgbColor rgb="FF808080"/>
      <rgbColor rgb="FF9999FF"/>
      <rgbColor rgb="FF993366"/>
      <rgbColor rgb="FFFFF2E5"/>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7FB"/>
      <rgbColor rgb="FFE2F0D9"/>
      <rgbColor rgb="FFFDECEC"/>
      <rgbColor rgb="FFC3C2B7"/>
      <rgbColor rgb="FFF2F2F2"/>
      <rgbColor rgb="FFCC99FF"/>
      <rgbColor rgb="FFE1E0D9"/>
      <rgbColor rgb="FF2A78D6"/>
      <rgbColor rgb="FF33CCCC"/>
      <rgbColor rgb="FF99CC00"/>
      <rgbColor rgb="FFFFCC00"/>
      <rgbColor rgb="FFFF9900"/>
      <rgbColor rgb="FFEB6834"/>
      <rgbColor rgb="FF52514E"/>
      <rgbColor rgb="FF969696"/>
      <rgbColor rgb="FF1F3864"/>
      <rgbColor rgb="FF1BAF7A"/>
      <rgbColor rgb="FF003300"/>
      <rgbColor rgb="FF333300"/>
      <rgbColor rgb="FF993300"/>
      <rgbColor rgb="FF993366"/>
      <rgbColor rgb="FF333399"/>
      <rgbColor rgb="FF1B1B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B1B1B"/>
                </a:solidFill>
                <a:latin typeface="Calibri"/>
              </a:defRPr>
            </a:pPr>
            <a:r>
              <a:rPr lang="en-IN" sz="1000" b="1" strike="noStrike" spc="-1">
                <a:solidFill>
                  <a:srgbClr val="1B1B1B"/>
                </a:solidFill>
                <a:latin typeface="Calibri"/>
              </a:rPr>
              <a:t>1. Cash and investments (₹ crore, 31 March)</a:t>
            </a:r>
          </a:p>
        </c:rich>
      </c:tx>
      <c:overlay val="0"/>
      <c:spPr>
        <a:noFill/>
        <a:ln w="0">
          <a:noFill/>
        </a:ln>
      </c:spPr>
    </c:title>
    <c:autoTitleDeleted val="0"/>
    <c:plotArea>
      <c:layout/>
      <c:barChart>
        <c:barDir val="col"/>
        <c:grouping val="stacked"/>
        <c:varyColors val="0"/>
        <c:ser>
          <c:idx val="0"/>
          <c:order val="0"/>
          <c:tx>
            <c:strRef>
              <c:f>Dashboard!$O$10</c:f>
              <c:strCache>
                <c:ptCount val="1"/>
                <c:pt idx="0">
                  <c:v>Cash and cash equivalents</c:v>
                </c:pt>
              </c:strCache>
            </c:strRef>
          </c:tx>
          <c:spPr>
            <a:solidFill>
              <a:srgbClr val="2A78D6"/>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Dashboard!$P$10:$R$10</c:f>
              <c:numCache>
                <c:formatCode>#,##0;\(#,##0\);\–</c:formatCode>
                <c:ptCount val="3"/>
                <c:pt idx="0">
                  <c:v>12173</c:v>
                </c:pt>
                <c:pt idx="1">
                  <c:v>14786</c:v>
                </c:pt>
                <c:pt idx="2">
                  <c:v>24455</c:v>
                </c:pt>
              </c:numCache>
            </c:numRef>
          </c:val>
          <c:extLst>
            <c:ext xmlns:c16="http://schemas.microsoft.com/office/drawing/2014/chart" uri="{C3380CC4-5D6E-409C-BE32-E72D297353CC}">
              <c16:uniqueId val="{00000000-82CF-4655-805B-C2787B2B9741}"/>
            </c:ext>
          </c:extLst>
        </c:ser>
        <c:ser>
          <c:idx val="1"/>
          <c:order val="1"/>
          <c:tx>
            <c:strRef>
              <c:f>Dashboard!$O$11</c:f>
              <c:strCache>
                <c:ptCount val="1"/>
                <c:pt idx="0">
                  <c:v>Investments (current + non-current)</c:v>
                </c:pt>
              </c:strCache>
            </c:strRef>
          </c:tx>
          <c:spPr>
            <a:solidFill>
              <a:srgbClr val="1BAF7A"/>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Dashboard!$P$11:$R$11</c:f>
              <c:numCache>
                <c:formatCode>#,##0;\(#,##0\);\–</c:formatCode>
                <c:ptCount val="3"/>
                <c:pt idx="0">
                  <c:v>19478</c:v>
                </c:pt>
                <c:pt idx="1">
                  <c:v>24623</c:v>
                </c:pt>
                <c:pt idx="2">
                  <c:v>23541</c:v>
                </c:pt>
              </c:numCache>
            </c:numRef>
          </c:val>
          <c:extLst>
            <c:ext xmlns:c16="http://schemas.microsoft.com/office/drawing/2014/chart" uri="{C3380CC4-5D6E-409C-BE32-E72D297353CC}">
              <c16:uniqueId val="{00000001-82CF-4655-805B-C2787B2B9741}"/>
            </c:ext>
          </c:extLst>
        </c:ser>
        <c:dLbls>
          <c:showLegendKey val="0"/>
          <c:showVal val="0"/>
          <c:showCatName val="0"/>
          <c:showSerName val="0"/>
          <c:showPercent val="0"/>
          <c:showBubbleSize val="0"/>
        </c:dLbls>
        <c:gapWidth val="80"/>
        <c:overlap val="100"/>
        <c:axId val="6148578"/>
        <c:axId val="2639810"/>
      </c:barChart>
      <c:catAx>
        <c:axId val="6148578"/>
        <c:scaling>
          <c:orientation val="minMax"/>
        </c:scaling>
        <c:delete val="0"/>
        <c:axPos val="b"/>
        <c:numFmt formatCode="General" sourceLinked="1"/>
        <c:majorTickMark val="none"/>
        <c:minorTickMark val="none"/>
        <c:tickLblPos val="nextTo"/>
        <c:spPr>
          <a:ln w="6480">
            <a:solidFill>
              <a:srgbClr val="C3C2B7"/>
            </a:solidFill>
            <a:round/>
          </a:ln>
        </c:spPr>
        <c:txPr>
          <a:bodyPr/>
          <a:lstStyle/>
          <a:p>
            <a:pPr>
              <a:defRPr sz="900" b="0" strike="noStrike" spc="-1">
                <a:solidFill>
                  <a:srgbClr val="52514E"/>
                </a:solidFill>
                <a:latin typeface="Calibri"/>
              </a:defRPr>
            </a:pPr>
            <a:endParaRPr lang="en-US"/>
          </a:p>
        </c:txPr>
        <c:crossAx val="2639810"/>
        <c:crosses val="autoZero"/>
        <c:auto val="1"/>
        <c:lblAlgn val="ctr"/>
        <c:lblOffset val="100"/>
        <c:noMultiLvlLbl val="0"/>
      </c:catAx>
      <c:valAx>
        <c:axId val="2639810"/>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sz="900" b="0" strike="noStrike" spc="-1">
                <a:solidFill>
                  <a:srgbClr val="52514E"/>
                </a:solidFill>
                <a:latin typeface="Calibri"/>
              </a:defRPr>
            </a:pPr>
            <a:endParaRPr lang="en-US"/>
          </a:p>
        </c:txPr>
        <c:crossAx val="614857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B1B1B"/>
                </a:solidFill>
                <a:latin typeface="Calibri"/>
              </a:defRPr>
            </a:pPr>
            <a:r>
              <a:rPr lang="en-IN" sz="1000" b="1" strike="noStrike" spc="-1">
                <a:solidFill>
                  <a:srgbClr val="1B1B1B"/>
                </a:solidFill>
                <a:latin typeface="Calibri"/>
              </a:rPr>
              <a:t>2. DERIVED OCF, reported capex and derived FCF (₹ crore, approx.)</a:t>
            </a:r>
          </a:p>
        </c:rich>
      </c:tx>
      <c:overlay val="0"/>
      <c:spPr>
        <a:noFill/>
        <a:ln w="0">
          <a:noFill/>
        </a:ln>
      </c:spPr>
    </c:title>
    <c:autoTitleDeleted val="0"/>
    <c:plotArea>
      <c:layout/>
      <c:barChart>
        <c:barDir val="col"/>
        <c:grouping val="clustered"/>
        <c:varyColors val="0"/>
        <c:ser>
          <c:idx val="0"/>
          <c:order val="0"/>
          <c:tx>
            <c:strRef>
              <c:f>Dashboard!$O$12</c:f>
              <c:strCache>
                <c:ptCount val="1"/>
                <c:pt idx="0">
                  <c:v>Operating cash flow (derived)</c:v>
                </c:pt>
              </c:strCache>
            </c:strRef>
          </c:tx>
          <c:spPr>
            <a:solidFill>
              <a:srgbClr val="2A78D6"/>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Dashboard!$P$12:$R$12</c:f>
              <c:numCache>
                <c:formatCode>#,##0;\(#,##0\);\–</c:formatCode>
                <c:ptCount val="3"/>
                <c:pt idx="0">
                  <c:v>23042.419000000002</c:v>
                </c:pt>
                <c:pt idx="1">
                  <c:v>26123.9</c:v>
                </c:pt>
                <c:pt idx="2">
                  <c:v>36835.74</c:v>
                </c:pt>
              </c:numCache>
            </c:numRef>
          </c:val>
          <c:extLst>
            <c:ext xmlns:c16="http://schemas.microsoft.com/office/drawing/2014/chart" uri="{C3380CC4-5D6E-409C-BE32-E72D297353CC}">
              <c16:uniqueId val="{00000000-C5E2-4AFB-A20A-3368C02C608B}"/>
            </c:ext>
          </c:extLst>
        </c:ser>
        <c:ser>
          <c:idx val="1"/>
          <c:order val="1"/>
          <c:tx>
            <c:strRef>
              <c:f>Dashboard!$O$13</c:f>
              <c:strCache>
                <c:ptCount val="1"/>
                <c:pt idx="0">
                  <c:v>Capital expenditure</c:v>
                </c:pt>
              </c:strCache>
            </c:strRef>
          </c:tx>
          <c:spPr>
            <a:solidFill>
              <a:srgbClr val="EB6834"/>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Dashboard!$P$13:$R$13</c:f>
              <c:numCache>
                <c:formatCode>#,##0;\(#,##0\);\–</c:formatCode>
                <c:ptCount val="3"/>
                <c:pt idx="0">
                  <c:v>2579</c:v>
                </c:pt>
                <c:pt idx="1">
                  <c:v>2201</c:v>
                </c:pt>
                <c:pt idx="2">
                  <c:v>2237</c:v>
                </c:pt>
              </c:numCache>
            </c:numRef>
          </c:val>
          <c:extLst>
            <c:ext xmlns:c16="http://schemas.microsoft.com/office/drawing/2014/chart" uri="{C3380CC4-5D6E-409C-BE32-E72D297353CC}">
              <c16:uniqueId val="{00000001-C5E2-4AFB-A20A-3368C02C608B}"/>
            </c:ext>
          </c:extLst>
        </c:ser>
        <c:ser>
          <c:idx val="2"/>
          <c:order val="2"/>
          <c:tx>
            <c:strRef>
              <c:f>Dashboard!$O$14</c:f>
              <c:strCache>
                <c:ptCount val="1"/>
                <c:pt idx="0">
                  <c:v>Free cash flow (derived)</c:v>
                </c:pt>
              </c:strCache>
            </c:strRef>
          </c:tx>
          <c:spPr>
            <a:solidFill>
              <a:srgbClr val="1BAF7A"/>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Dashboard!$P$14:$R$14</c:f>
              <c:numCache>
                <c:formatCode>#,##0;\(#,##0\);\–</c:formatCode>
                <c:ptCount val="3"/>
                <c:pt idx="0">
                  <c:v>20463.419000000002</c:v>
                </c:pt>
                <c:pt idx="1">
                  <c:v>23922.9</c:v>
                </c:pt>
                <c:pt idx="2">
                  <c:v>34598.74</c:v>
                </c:pt>
              </c:numCache>
            </c:numRef>
          </c:val>
          <c:extLst>
            <c:ext xmlns:c16="http://schemas.microsoft.com/office/drawing/2014/chart" uri="{C3380CC4-5D6E-409C-BE32-E72D297353CC}">
              <c16:uniqueId val="{00000002-C5E2-4AFB-A20A-3368C02C608B}"/>
            </c:ext>
          </c:extLst>
        </c:ser>
        <c:dLbls>
          <c:showLegendKey val="0"/>
          <c:showVal val="0"/>
          <c:showCatName val="0"/>
          <c:showSerName val="0"/>
          <c:showPercent val="0"/>
          <c:showBubbleSize val="0"/>
        </c:dLbls>
        <c:gapWidth val="80"/>
        <c:axId val="4858463"/>
        <c:axId val="51325298"/>
      </c:barChart>
      <c:catAx>
        <c:axId val="4858463"/>
        <c:scaling>
          <c:orientation val="minMax"/>
        </c:scaling>
        <c:delete val="0"/>
        <c:axPos val="b"/>
        <c:numFmt formatCode="General" sourceLinked="1"/>
        <c:majorTickMark val="none"/>
        <c:minorTickMark val="none"/>
        <c:tickLblPos val="nextTo"/>
        <c:spPr>
          <a:ln w="6480">
            <a:solidFill>
              <a:srgbClr val="C3C2B7"/>
            </a:solidFill>
            <a:round/>
          </a:ln>
        </c:spPr>
        <c:txPr>
          <a:bodyPr/>
          <a:lstStyle/>
          <a:p>
            <a:pPr>
              <a:defRPr sz="900" b="0" strike="noStrike" spc="-1">
                <a:solidFill>
                  <a:srgbClr val="52514E"/>
                </a:solidFill>
                <a:latin typeface="Calibri"/>
              </a:defRPr>
            </a:pPr>
            <a:endParaRPr lang="en-US"/>
          </a:p>
        </c:txPr>
        <c:crossAx val="51325298"/>
        <c:crosses val="autoZero"/>
        <c:auto val="1"/>
        <c:lblAlgn val="ctr"/>
        <c:lblOffset val="100"/>
        <c:noMultiLvlLbl val="0"/>
      </c:catAx>
      <c:valAx>
        <c:axId val="51325298"/>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sz="900" b="0" strike="noStrike" spc="-1">
                <a:solidFill>
                  <a:srgbClr val="52514E"/>
                </a:solidFill>
                <a:latin typeface="Calibri"/>
              </a:defRPr>
            </a:pPr>
            <a:endParaRPr lang="en-US"/>
          </a:p>
        </c:txPr>
        <c:crossAx val="485846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B1B1B"/>
                </a:solidFill>
                <a:latin typeface="Calibri"/>
              </a:defRPr>
            </a:pPr>
            <a:r>
              <a:rPr lang="en-IN" sz="1000" b="1" strike="noStrike" spc="-1">
                <a:solidFill>
                  <a:srgbClr val="1B1B1B"/>
                </a:solidFill>
                <a:latin typeface="Calibri"/>
              </a:rPr>
              <a:t>3. Printed ratios: cash generation and liquidity pool (% )</a:t>
            </a:r>
          </a:p>
        </c:rich>
      </c:tx>
      <c:overlay val="0"/>
      <c:spPr>
        <a:noFill/>
        <a:ln w="0">
          <a:noFill/>
        </a:ln>
      </c:spPr>
    </c:title>
    <c:autoTitleDeleted val="0"/>
    <c:plotArea>
      <c:layout/>
      <c:lineChart>
        <c:grouping val="standard"/>
        <c:varyColors val="0"/>
        <c:ser>
          <c:idx val="0"/>
          <c:order val="0"/>
          <c:tx>
            <c:strRef>
              <c:f>Dashboard!$O$15</c:f>
              <c:strCache>
                <c:ptCount val="1"/>
                <c:pt idx="0">
                  <c:v>Operating cash flow ÷ revenue</c:v>
                </c:pt>
              </c:strCache>
            </c:strRef>
          </c:tx>
          <c:spPr>
            <a:ln w="25560">
              <a:solidFill>
                <a:srgbClr val="2A78D6"/>
              </a:solidFill>
              <a:round/>
            </a:ln>
          </c:spPr>
          <c:marker>
            <c:symbol val="circle"/>
            <c:size val="7"/>
            <c:spPr>
              <a:solidFill>
                <a:srgbClr val="2A78D6"/>
              </a:solidFill>
            </c:spPr>
          </c:marker>
          <c:dLbls>
            <c:spPr>
              <a:noFill/>
              <a:ln>
                <a:noFill/>
              </a:ln>
              <a:effectLst/>
            </c:spPr>
            <c:txPr>
              <a:bodyPr wrap="square"/>
              <a:lstStyle/>
              <a:p>
                <a:pPr>
                  <a:defRPr sz="800" b="0" strike="noStrike" spc="-1">
                    <a:solidFill>
                      <a:srgbClr val="1B1B1B"/>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Dashboard!$P$15:$R$15</c:f>
              <c:numCache>
                <c:formatCode>0.0%;\(0.0%\);\–</c:formatCode>
                <c:ptCount val="3"/>
                <c:pt idx="0">
                  <c:v>0.157</c:v>
                </c:pt>
                <c:pt idx="1">
                  <c:v>0.17</c:v>
                </c:pt>
                <c:pt idx="2">
                  <c:v>0.22600000000000001</c:v>
                </c:pt>
              </c:numCache>
            </c:numRef>
          </c:val>
          <c:smooth val="0"/>
          <c:extLst>
            <c:ext xmlns:c16="http://schemas.microsoft.com/office/drawing/2014/chart" uri="{C3380CC4-5D6E-409C-BE32-E72D297353CC}">
              <c16:uniqueId val="{00000000-F5FC-4EFF-8CCF-124BF096BFB6}"/>
            </c:ext>
          </c:extLst>
        </c:ser>
        <c:ser>
          <c:idx val="1"/>
          <c:order val="1"/>
          <c:tx>
            <c:strRef>
              <c:f>Dashboard!$O$16</c:f>
              <c:strCache>
                <c:ptCount val="1"/>
                <c:pt idx="0">
                  <c:v>Cash and investments ÷ total assets</c:v>
                </c:pt>
              </c:strCache>
            </c:strRef>
          </c:tx>
          <c:spPr>
            <a:ln w="25560">
              <a:solidFill>
                <a:srgbClr val="EB6834"/>
              </a:solidFill>
              <a:round/>
            </a:ln>
          </c:spPr>
          <c:marker>
            <c:symbol val="circle"/>
            <c:size val="7"/>
            <c:spPr>
              <a:solidFill>
                <a:srgbClr val="EB6834"/>
              </a:solidFill>
            </c:spPr>
          </c:marker>
          <c:dLbls>
            <c:spPr>
              <a:noFill/>
              <a:ln>
                <a:noFill/>
              </a:ln>
              <a:effectLst/>
            </c:spPr>
            <c:txPr>
              <a:bodyPr wrap="square"/>
              <a:lstStyle/>
              <a:p>
                <a:pPr>
                  <a:defRPr sz="800" b="0" strike="noStrike" spc="-1">
                    <a:solidFill>
                      <a:srgbClr val="1B1B1B"/>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Dashboard!$P$16:$R$16</c:f>
              <c:numCache>
                <c:formatCode>0.0%;\(0.0%\);\–</c:formatCode>
                <c:ptCount val="3"/>
                <c:pt idx="0">
                  <c:v>0.249</c:v>
                </c:pt>
                <c:pt idx="1">
                  <c:v>0.28299999999999997</c:v>
                </c:pt>
                <c:pt idx="2">
                  <c:v>0.31900000000000001</c:v>
                </c:pt>
              </c:numCache>
            </c:numRef>
          </c:val>
          <c:smooth val="0"/>
          <c:extLst>
            <c:ext xmlns:c16="http://schemas.microsoft.com/office/drawing/2014/chart" uri="{C3380CC4-5D6E-409C-BE32-E72D297353CC}">
              <c16:uniqueId val="{00000001-F5FC-4EFF-8CCF-124BF096BFB6}"/>
            </c:ext>
          </c:extLst>
        </c:ser>
        <c:ser>
          <c:idx val="2"/>
          <c:order val="2"/>
          <c:tx>
            <c:strRef>
              <c:f>Dashboard!$O$17</c:f>
              <c:strCache>
                <c:ptCount val="1"/>
                <c:pt idx="0">
                  <c:v>Cash and investments ÷ revenue</c:v>
                </c:pt>
              </c:strCache>
            </c:strRef>
          </c:tx>
          <c:spPr>
            <a:ln w="25560">
              <a:solidFill>
                <a:srgbClr val="1BAF7A"/>
              </a:solidFill>
              <a:round/>
            </a:ln>
          </c:spPr>
          <c:marker>
            <c:symbol val="circle"/>
            <c:size val="7"/>
            <c:spPr>
              <a:solidFill>
                <a:srgbClr val="1BAF7A"/>
              </a:solidFill>
            </c:spPr>
          </c:marker>
          <c:dLbls>
            <c:spPr>
              <a:noFill/>
              <a:ln>
                <a:noFill/>
              </a:ln>
              <a:effectLst/>
            </c:spPr>
            <c:txPr>
              <a:bodyPr wrap="square"/>
              <a:lstStyle/>
              <a:p>
                <a:pPr>
                  <a:defRPr sz="800" b="0" strike="noStrike" spc="-1">
                    <a:solidFill>
                      <a:srgbClr val="1B1B1B"/>
                    </a:solidFill>
                    <a:latin typeface="Calibri"/>
                  </a:defRPr>
                </a:pPr>
                <a:endParaRPr lang="en-US"/>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Dashboard!$P$17:$R$17</c:f>
              <c:numCache>
                <c:formatCode>0.0%;\(0.0%\);\–</c:formatCode>
                <c:ptCount val="3"/>
                <c:pt idx="0">
                  <c:v>0.21299999999999999</c:v>
                </c:pt>
                <c:pt idx="1">
                  <c:v>0.254</c:v>
                </c:pt>
                <c:pt idx="2">
                  <c:v>0.29199999999999998</c:v>
                </c:pt>
              </c:numCache>
            </c:numRef>
          </c:val>
          <c:smooth val="0"/>
          <c:extLst>
            <c:ext xmlns:c16="http://schemas.microsoft.com/office/drawing/2014/chart" uri="{C3380CC4-5D6E-409C-BE32-E72D297353CC}">
              <c16:uniqueId val="{00000002-F5FC-4EFF-8CCF-124BF096BFB6}"/>
            </c:ext>
          </c:extLst>
        </c:ser>
        <c:dLbls>
          <c:showLegendKey val="0"/>
          <c:showVal val="0"/>
          <c:showCatName val="0"/>
          <c:showSerName val="0"/>
          <c:showPercent val="0"/>
          <c:showBubbleSize val="0"/>
        </c:dLbls>
        <c:hiLowLines>
          <c:spPr>
            <a:ln w="0">
              <a:noFill/>
            </a:ln>
          </c:spPr>
        </c:hiLowLines>
        <c:marker val="1"/>
        <c:smooth val="0"/>
        <c:axId val="29755530"/>
        <c:axId val="36272295"/>
      </c:lineChart>
      <c:catAx>
        <c:axId val="29755530"/>
        <c:scaling>
          <c:orientation val="minMax"/>
        </c:scaling>
        <c:delete val="0"/>
        <c:axPos val="b"/>
        <c:numFmt formatCode="General" sourceLinked="1"/>
        <c:majorTickMark val="none"/>
        <c:minorTickMark val="none"/>
        <c:tickLblPos val="nextTo"/>
        <c:spPr>
          <a:ln w="6480">
            <a:solidFill>
              <a:srgbClr val="C3C2B7"/>
            </a:solidFill>
            <a:round/>
          </a:ln>
        </c:spPr>
        <c:txPr>
          <a:bodyPr/>
          <a:lstStyle/>
          <a:p>
            <a:pPr>
              <a:defRPr sz="900" b="0" strike="noStrike" spc="-1">
                <a:solidFill>
                  <a:srgbClr val="52514E"/>
                </a:solidFill>
                <a:latin typeface="Calibri"/>
              </a:defRPr>
            </a:pPr>
            <a:endParaRPr lang="en-US"/>
          </a:p>
        </c:txPr>
        <c:crossAx val="36272295"/>
        <c:crosses val="autoZero"/>
        <c:auto val="1"/>
        <c:lblAlgn val="ctr"/>
        <c:lblOffset val="100"/>
        <c:noMultiLvlLbl val="0"/>
      </c:catAx>
      <c:valAx>
        <c:axId val="36272295"/>
        <c:scaling>
          <c:orientation val="minMax"/>
          <c:min val="0"/>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sz="900" b="0" strike="noStrike" spc="-1">
                <a:solidFill>
                  <a:srgbClr val="52514E"/>
                </a:solidFill>
                <a:latin typeface="Calibri"/>
              </a:defRPr>
            </a:pPr>
            <a:endParaRPr lang="en-US"/>
          </a:p>
        </c:txPr>
        <c:crossAx val="2975553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B1B1B"/>
                </a:solidFill>
                <a:latin typeface="Calibri"/>
              </a:defRPr>
            </a:pPr>
            <a:r>
              <a:rPr lang="en-IN" sz="1000" b="1" strike="noStrike" spc="-1">
                <a:solidFill>
                  <a:srgbClr val="1B1B1B"/>
                </a:solidFill>
                <a:latin typeface="Calibri"/>
              </a:rPr>
              <a:t>4. Days of operating costs covered by cash + investments</a:t>
            </a:r>
          </a:p>
        </c:rich>
      </c:tx>
      <c:overlay val="0"/>
      <c:spPr>
        <a:noFill/>
        <a:ln w="0">
          <a:noFill/>
        </a:ln>
      </c:spPr>
    </c:title>
    <c:autoTitleDeleted val="0"/>
    <c:plotArea>
      <c:layout/>
      <c:barChart>
        <c:barDir val="col"/>
        <c:grouping val="clustered"/>
        <c:varyColors val="0"/>
        <c:ser>
          <c:idx val="0"/>
          <c:order val="0"/>
          <c:tx>
            <c:strRef>
              <c:f>Dashboard!$O$18</c:f>
              <c:strCache>
                <c:ptCount val="1"/>
                <c:pt idx="0">
                  <c:v>Days of operating costs covered</c:v>
                </c:pt>
              </c:strCache>
            </c:strRef>
          </c:tx>
          <c:spPr>
            <a:solidFill>
              <a:srgbClr val="2A78D6"/>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Dashboard!$P$18:$R$18</c:f>
              <c:numCache>
                <c:formatCode>0</c:formatCode>
                <c:ptCount val="3"/>
                <c:pt idx="0">
                  <c:v>99.710129291743627</c:v>
                </c:pt>
                <c:pt idx="1">
                  <c:v>117.97843721037049</c:v>
                </c:pt>
                <c:pt idx="2">
                  <c:v>136.26106435605058</c:v>
                </c:pt>
              </c:numCache>
            </c:numRef>
          </c:val>
          <c:extLst>
            <c:ext xmlns:c16="http://schemas.microsoft.com/office/drawing/2014/chart" uri="{C3380CC4-5D6E-409C-BE32-E72D297353CC}">
              <c16:uniqueId val="{00000000-C238-4117-AA36-CA6BD5AB601B}"/>
            </c:ext>
          </c:extLst>
        </c:ser>
        <c:dLbls>
          <c:showLegendKey val="0"/>
          <c:showVal val="0"/>
          <c:showCatName val="0"/>
          <c:showSerName val="0"/>
          <c:showPercent val="0"/>
          <c:showBubbleSize val="0"/>
        </c:dLbls>
        <c:gapWidth val="80"/>
        <c:axId val="93967233"/>
        <c:axId val="97996516"/>
      </c:barChart>
      <c:catAx>
        <c:axId val="93967233"/>
        <c:scaling>
          <c:orientation val="minMax"/>
        </c:scaling>
        <c:delete val="0"/>
        <c:axPos val="b"/>
        <c:numFmt formatCode="General" sourceLinked="1"/>
        <c:majorTickMark val="none"/>
        <c:minorTickMark val="none"/>
        <c:tickLblPos val="nextTo"/>
        <c:spPr>
          <a:ln w="6480">
            <a:solidFill>
              <a:srgbClr val="C3C2B7"/>
            </a:solidFill>
            <a:round/>
          </a:ln>
        </c:spPr>
        <c:txPr>
          <a:bodyPr/>
          <a:lstStyle/>
          <a:p>
            <a:pPr>
              <a:defRPr sz="900" b="0" strike="noStrike" spc="-1">
                <a:solidFill>
                  <a:srgbClr val="52514E"/>
                </a:solidFill>
                <a:latin typeface="Calibri"/>
              </a:defRPr>
            </a:pPr>
            <a:endParaRPr lang="en-US"/>
          </a:p>
        </c:txPr>
        <c:crossAx val="97996516"/>
        <c:crosses val="autoZero"/>
        <c:auto val="1"/>
        <c:lblAlgn val="ctr"/>
        <c:lblOffset val="100"/>
        <c:noMultiLvlLbl val="0"/>
      </c:catAx>
      <c:valAx>
        <c:axId val="97996516"/>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sz="900" b="0" strike="noStrike" spc="-1">
                <a:solidFill>
                  <a:srgbClr val="52514E"/>
                </a:solidFill>
                <a:latin typeface="Calibri"/>
              </a:defRPr>
            </a:pPr>
            <a:endParaRPr lang="en-US"/>
          </a:p>
        </c:txPr>
        <c:crossAx val="939672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B1B1B"/>
                </a:solidFill>
                <a:latin typeface="Calibri"/>
              </a:defRPr>
            </a:pPr>
            <a:r>
              <a:rPr lang="en-IN" sz="1000" b="1" strike="noStrike" spc="-1">
                <a:solidFill>
                  <a:srgbClr val="1B1B1B"/>
                </a:solidFill>
                <a:latin typeface="Calibri"/>
              </a:rPr>
              <a:t>5. Net current assets (₹ crore, as printed)</a:t>
            </a:r>
          </a:p>
        </c:rich>
      </c:tx>
      <c:overlay val="0"/>
      <c:spPr>
        <a:noFill/>
        <a:ln w="0">
          <a:noFill/>
        </a:ln>
      </c:spPr>
    </c:title>
    <c:autoTitleDeleted val="0"/>
    <c:plotArea>
      <c:layout/>
      <c:barChart>
        <c:barDir val="col"/>
        <c:grouping val="clustered"/>
        <c:varyColors val="0"/>
        <c:ser>
          <c:idx val="0"/>
          <c:order val="0"/>
          <c:tx>
            <c:strRef>
              <c:f>Dashboard!$O$19</c:f>
              <c:strCache>
                <c:ptCount val="1"/>
                <c:pt idx="0">
                  <c:v>Net current assets</c:v>
                </c:pt>
              </c:strCache>
            </c:strRef>
          </c:tx>
          <c:spPr>
            <a:solidFill>
              <a:srgbClr val="2A78D6"/>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Dashboard!$P$9:$R$9</c:f>
              <c:strCache>
                <c:ptCount val="3"/>
                <c:pt idx="0">
                  <c:v>FY23</c:v>
                </c:pt>
                <c:pt idx="1">
                  <c:v>FY24</c:v>
                </c:pt>
                <c:pt idx="2">
                  <c:v>FY25</c:v>
                </c:pt>
              </c:strCache>
            </c:strRef>
          </c:cat>
          <c:val>
            <c:numRef>
              <c:f>Dashboard!$P$19:$R$19</c:f>
              <c:numCache>
                <c:formatCode>#,##0;\(#,##0\);\–</c:formatCode>
                <c:ptCount val="3"/>
                <c:pt idx="0">
                  <c:v>31695</c:v>
                </c:pt>
                <c:pt idx="1">
                  <c:v>50638</c:v>
                </c:pt>
                <c:pt idx="2">
                  <c:v>54249</c:v>
                </c:pt>
              </c:numCache>
            </c:numRef>
          </c:val>
          <c:extLst>
            <c:ext xmlns:c16="http://schemas.microsoft.com/office/drawing/2014/chart" uri="{C3380CC4-5D6E-409C-BE32-E72D297353CC}">
              <c16:uniqueId val="{00000000-D972-4728-8549-E25BFF97793E}"/>
            </c:ext>
          </c:extLst>
        </c:ser>
        <c:dLbls>
          <c:showLegendKey val="0"/>
          <c:showVal val="0"/>
          <c:showCatName val="0"/>
          <c:showSerName val="0"/>
          <c:showPercent val="0"/>
          <c:showBubbleSize val="0"/>
        </c:dLbls>
        <c:gapWidth val="80"/>
        <c:axId val="78165195"/>
        <c:axId val="60145573"/>
      </c:barChart>
      <c:catAx>
        <c:axId val="78165195"/>
        <c:scaling>
          <c:orientation val="minMax"/>
        </c:scaling>
        <c:delete val="0"/>
        <c:axPos val="b"/>
        <c:numFmt formatCode="General" sourceLinked="1"/>
        <c:majorTickMark val="none"/>
        <c:minorTickMark val="none"/>
        <c:tickLblPos val="nextTo"/>
        <c:spPr>
          <a:ln w="6480">
            <a:solidFill>
              <a:srgbClr val="C3C2B7"/>
            </a:solidFill>
            <a:round/>
          </a:ln>
        </c:spPr>
        <c:txPr>
          <a:bodyPr/>
          <a:lstStyle/>
          <a:p>
            <a:pPr>
              <a:defRPr sz="900" b="0" strike="noStrike" spc="-1">
                <a:solidFill>
                  <a:srgbClr val="52514E"/>
                </a:solidFill>
                <a:latin typeface="Calibri"/>
              </a:defRPr>
            </a:pPr>
            <a:endParaRPr lang="en-US"/>
          </a:p>
        </c:txPr>
        <c:crossAx val="60145573"/>
        <c:crosses val="autoZero"/>
        <c:auto val="1"/>
        <c:lblAlgn val="ctr"/>
        <c:lblOffset val="100"/>
        <c:noMultiLvlLbl val="0"/>
      </c:catAx>
      <c:valAx>
        <c:axId val="60145573"/>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sz="900" b="0" strike="noStrike" spc="-1">
                <a:solidFill>
                  <a:srgbClr val="52514E"/>
                </a:solidFill>
                <a:latin typeface="Calibri"/>
              </a:defRPr>
            </a:pPr>
            <a:endParaRPr lang="en-US"/>
          </a:p>
        </c:txPr>
        <c:crossAx val="781651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B1B1B"/>
                </a:solidFill>
                <a:latin typeface="Calibri"/>
              </a:defRPr>
            </a:pPr>
            <a:r>
              <a:rPr lang="en-IN" sz="1000" b="1" strike="noStrike" spc="-1">
                <a:solidFill>
                  <a:srgbClr val="1B1B1B"/>
                </a:solidFill>
                <a:latin typeface="Calibri"/>
              </a:rPr>
              <a:t>6. Derived FCF vs rise in cash + investments (₹ crore, approx.)</a:t>
            </a:r>
          </a:p>
        </c:rich>
      </c:tx>
      <c:overlay val="0"/>
      <c:spPr>
        <a:noFill/>
        <a:ln w="0">
          <a:noFill/>
        </a:ln>
      </c:spPr>
    </c:title>
    <c:autoTitleDeleted val="0"/>
    <c:plotArea>
      <c:layout/>
      <c:barChart>
        <c:barDir val="col"/>
        <c:grouping val="clustered"/>
        <c:varyColors val="0"/>
        <c:ser>
          <c:idx val="0"/>
          <c:order val="0"/>
          <c:tx>
            <c:strRef>
              <c:f>Dashboard!$O$23</c:f>
              <c:strCache>
                <c:ptCount val="1"/>
                <c:pt idx="0">
                  <c:v>Free cash flow (derived)</c:v>
                </c:pt>
              </c:strCache>
            </c:strRef>
          </c:tx>
          <c:spPr>
            <a:solidFill>
              <a:srgbClr val="2A78D6"/>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Dashboard!$P$22:$Q$22</c:f>
              <c:strCache>
                <c:ptCount val="2"/>
                <c:pt idx="0">
                  <c:v>FY24</c:v>
                </c:pt>
                <c:pt idx="1">
                  <c:v>FY25</c:v>
                </c:pt>
              </c:strCache>
            </c:strRef>
          </c:cat>
          <c:val>
            <c:numRef>
              <c:f>Dashboard!$P$23:$Q$23</c:f>
              <c:numCache>
                <c:formatCode>#,##0;\(#,##0\);\–</c:formatCode>
                <c:ptCount val="2"/>
                <c:pt idx="0">
                  <c:v>23922.9</c:v>
                </c:pt>
                <c:pt idx="1">
                  <c:v>34598.74</c:v>
                </c:pt>
              </c:numCache>
            </c:numRef>
          </c:val>
          <c:extLst>
            <c:ext xmlns:c16="http://schemas.microsoft.com/office/drawing/2014/chart" uri="{C3380CC4-5D6E-409C-BE32-E72D297353CC}">
              <c16:uniqueId val="{00000000-CD50-4235-8ECB-D405F92383DE}"/>
            </c:ext>
          </c:extLst>
        </c:ser>
        <c:ser>
          <c:idx val="1"/>
          <c:order val="1"/>
          <c:tx>
            <c:strRef>
              <c:f>Dashboard!$O$24</c:f>
              <c:strCache>
                <c:ptCount val="1"/>
                <c:pt idx="0">
                  <c:v>Rise in cash + investments</c:v>
                </c:pt>
              </c:strCache>
            </c:strRef>
          </c:tx>
          <c:spPr>
            <a:solidFill>
              <a:srgbClr val="1BAF7A"/>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Dashboard!$P$22:$Q$22</c:f>
              <c:strCache>
                <c:ptCount val="2"/>
                <c:pt idx="0">
                  <c:v>FY24</c:v>
                </c:pt>
                <c:pt idx="1">
                  <c:v>FY25</c:v>
                </c:pt>
              </c:strCache>
            </c:strRef>
          </c:cat>
          <c:val>
            <c:numRef>
              <c:f>Dashboard!$P$24:$Q$24</c:f>
              <c:numCache>
                <c:formatCode>#,##0;\(#,##0\);\–</c:formatCode>
                <c:ptCount val="2"/>
                <c:pt idx="0">
                  <c:v>7758</c:v>
                </c:pt>
                <c:pt idx="1">
                  <c:v>8587</c:v>
                </c:pt>
              </c:numCache>
            </c:numRef>
          </c:val>
          <c:extLst>
            <c:ext xmlns:c16="http://schemas.microsoft.com/office/drawing/2014/chart" uri="{C3380CC4-5D6E-409C-BE32-E72D297353CC}">
              <c16:uniqueId val="{00000001-CD50-4235-8ECB-D405F92383DE}"/>
            </c:ext>
          </c:extLst>
        </c:ser>
        <c:ser>
          <c:idx val="2"/>
          <c:order val="2"/>
          <c:tx>
            <c:strRef>
              <c:f>Dashboard!$O$25</c:f>
              <c:strCache>
                <c:ptCount val="1"/>
                <c:pt idx="0">
                  <c:v>Residual (not itemised in source)</c:v>
                </c:pt>
              </c:strCache>
            </c:strRef>
          </c:tx>
          <c:spPr>
            <a:solidFill>
              <a:srgbClr val="EB6834"/>
            </a:solidFill>
            <a:ln w="12600">
              <a:solidFill>
                <a:srgbClr val="FFFFFF"/>
              </a:solidFill>
              <a:round/>
            </a:ln>
          </c:spPr>
          <c:invertIfNegative val="0"/>
          <c:dLbls>
            <c:spPr>
              <a:noFill/>
              <a:ln>
                <a:noFill/>
              </a:ln>
              <a:effectLst/>
            </c:spPr>
            <c:txPr>
              <a:bodyPr wrap="square"/>
              <a:lstStyle/>
              <a:p>
                <a:pPr>
                  <a:defRPr sz="800" b="0" strike="noStrike" spc="-1">
                    <a:solidFill>
                      <a:srgbClr val="1B1B1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Dashboard!$P$22:$Q$22</c:f>
              <c:strCache>
                <c:ptCount val="2"/>
                <c:pt idx="0">
                  <c:v>FY24</c:v>
                </c:pt>
                <c:pt idx="1">
                  <c:v>FY25</c:v>
                </c:pt>
              </c:strCache>
            </c:strRef>
          </c:cat>
          <c:val>
            <c:numRef>
              <c:f>Dashboard!$P$25:$Q$25</c:f>
              <c:numCache>
                <c:formatCode>#,##0;\(#,##0\);\–</c:formatCode>
                <c:ptCount val="2"/>
                <c:pt idx="0">
                  <c:v>16164.900000000001</c:v>
                </c:pt>
                <c:pt idx="1">
                  <c:v>26011.739999999998</c:v>
                </c:pt>
              </c:numCache>
            </c:numRef>
          </c:val>
          <c:extLst>
            <c:ext xmlns:c16="http://schemas.microsoft.com/office/drawing/2014/chart" uri="{C3380CC4-5D6E-409C-BE32-E72D297353CC}">
              <c16:uniqueId val="{00000002-CD50-4235-8ECB-D405F92383DE}"/>
            </c:ext>
          </c:extLst>
        </c:ser>
        <c:dLbls>
          <c:showLegendKey val="0"/>
          <c:showVal val="0"/>
          <c:showCatName val="0"/>
          <c:showSerName val="0"/>
          <c:showPercent val="0"/>
          <c:showBubbleSize val="0"/>
        </c:dLbls>
        <c:gapWidth val="80"/>
        <c:axId val="83600006"/>
        <c:axId val="53546701"/>
      </c:barChart>
      <c:catAx>
        <c:axId val="83600006"/>
        <c:scaling>
          <c:orientation val="minMax"/>
        </c:scaling>
        <c:delete val="0"/>
        <c:axPos val="b"/>
        <c:numFmt formatCode="General" sourceLinked="1"/>
        <c:majorTickMark val="none"/>
        <c:minorTickMark val="none"/>
        <c:tickLblPos val="nextTo"/>
        <c:spPr>
          <a:ln w="6480">
            <a:solidFill>
              <a:srgbClr val="C3C2B7"/>
            </a:solidFill>
            <a:round/>
          </a:ln>
        </c:spPr>
        <c:txPr>
          <a:bodyPr/>
          <a:lstStyle/>
          <a:p>
            <a:pPr>
              <a:defRPr sz="900" b="0" strike="noStrike" spc="-1">
                <a:solidFill>
                  <a:srgbClr val="52514E"/>
                </a:solidFill>
                <a:latin typeface="Calibri"/>
              </a:defRPr>
            </a:pPr>
            <a:endParaRPr lang="en-US"/>
          </a:p>
        </c:txPr>
        <c:crossAx val="53546701"/>
        <c:crosses val="autoZero"/>
        <c:auto val="1"/>
        <c:lblAlgn val="ctr"/>
        <c:lblOffset val="100"/>
        <c:noMultiLvlLbl val="0"/>
      </c:catAx>
      <c:valAx>
        <c:axId val="53546701"/>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sz="900" b="0" strike="noStrike" spc="-1">
                <a:solidFill>
                  <a:srgbClr val="52514E"/>
                </a:solidFill>
                <a:latin typeface="Calibri"/>
              </a:defRPr>
            </a:pPr>
            <a:endParaRPr lang="en-US"/>
          </a:p>
        </c:txPr>
        <c:crossAx val="8360000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6</xdr:col>
      <xdr:colOff>818280</xdr:colOff>
      <xdr:row>42</xdr:row>
      <xdr:rowOff>179580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29</xdr:row>
      <xdr:rowOff>0</xdr:rowOff>
    </xdr:from>
    <xdr:to>
      <xdr:col>12</xdr:col>
      <xdr:colOff>817920</xdr:colOff>
      <xdr:row>42</xdr:row>
      <xdr:rowOff>179580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45</xdr:row>
      <xdr:rowOff>0</xdr:rowOff>
    </xdr:from>
    <xdr:to>
      <xdr:col>6</xdr:col>
      <xdr:colOff>818280</xdr:colOff>
      <xdr:row>58</xdr:row>
      <xdr:rowOff>179580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45</xdr:row>
      <xdr:rowOff>0</xdr:rowOff>
    </xdr:from>
    <xdr:to>
      <xdr:col>12</xdr:col>
      <xdr:colOff>817920</xdr:colOff>
      <xdr:row>58</xdr:row>
      <xdr:rowOff>179580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61</xdr:row>
      <xdr:rowOff>0</xdr:rowOff>
    </xdr:from>
    <xdr:to>
      <xdr:col>6</xdr:col>
      <xdr:colOff>818280</xdr:colOff>
      <xdr:row>74</xdr:row>
      <xdr:rowOff>179220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61</xdr:row>
      <xdr:rowOff>0</xdr:rowOff>
    </xdr:from>
    <xdr:to>
      <xdr:col>12</xdr:col>
      <xdr:colOff>817920</xdr:colOff>
      <xdr:row>74</xdr:row>
      <xdr:rowOff>179220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GridLines="0" zoomScaleNormal="100" workbookViewId="0">
      <selection activeCell="H8" sqref="H8"/>
    </sheetView>
  </sheetViews>
  <sheetFormatPr defaultColWidth="8.6640625" defaultRowHeight="14.4" x14ac:dyDescent="0.3"/>
  <cols>
    <col min="1" max="1" width="24" customWidth="1"/>
    <col min="2" max="2" width="110" customWidth="1"/>
  </cols>
  <sheetData>
    <row r="1" spans="1:2" ht="19.2" x14ac:dyDescent="0.35">
      <c r="A1" s="11" t="s">
        <v>0</v>
      </c>
    </row>
    <row r="2" spans="1:2" x14ac:dyDescent="0.3">
      <c r="A2" s="12" t="s">
        <v>1</v>
      </c>
    </row>
    <row r="4" spans="1:2" ht="30" customHeight="1" x14ac:dyDescent="0.3">
      <c r="A4" s="78" t="s">
        <v>2</v>
      </c>
      <c r="B4" s="13" t="s">
        <v>3</v>
      </c>
    </row>
    <row r="5" spans="1:2" ht="30" customHeight="1" x14ac:dyDescent="0.3">
      <c r="A5" s="78" t="s">
        <v>4</v>
      </c>
      <c r="B5" s="13" t="s">
        <v>5</v>
      </c>
    </row>
    <row r="6" spans="1:2" ht="30" customHeight="1" x14ac:dyDescent="0.3">
      <c r="A6" s="79" t="s">
        <v>6</v>
      </c>
      <c r="B6" s="13" t="s">
        <v>7</v>
      </c>
    </row>
    <row r="7" spans="1:2" ht="43.5" customHeight="1" x14ac:dyDescent="0.3">
      <c r="A7" s="78" t="s">
        <v>8</v>
      </c>
      <c r="B7" s="13" t="s">
        <v>9</v>
      </c>
    </row>
    <row r="8" spans="1:2" ht="43.5" customHeight="1" x14ac:dyDescent="0.3">
      <c r="A8" s="78" t="s">
        <v>10</v>
      </c>
      <c r="B8" s="13" t="s">
        <v>11</v>
      </c>
    </row>
    <row r="9" spans="1:2" ht="30" customHeight="1" x14ac:dyDescent="0.3">
      <c r="A9" s="78" t="s">
        <v>12</v>
      </c>
      <c r="B9" s="13" t="s">
        <v>13</v>
      </c>
    </row>
    <row r="10" spans="1:2" ht="30" customHeight="1" x14ac:dyDescent="0.3">
      <c r="A10" s="78" t="s">
        <v>14</v>
      </c>
      <c r="B10" s="13" t="s">
        <v>15</v>
      </c>
    </row>
    <row r="11" spans="1:2" ht="69.75" customHeight="1" x14ac:dyDescent="0.3">
      <c r="A11" s="78" t="s">
        <v>16</v>
      </c>
      <c r="B11" s="13" t="s">
        <v>601</v>
      </c>
    </row>
    <row r="12" spans="1:2" ht="43.5" customHeight="1" x14ac:dyDescent="0.3"/>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0"/>
  <sheetViews>
    <sheetView showGridLines="0" zoomScaleNormal="100" workbookViewId="0">
      <pane xSplit="2" ySplit="4" topLeftCell="C53" activePane="bottomRight" state="frozen"/>
      <selection pane="topRight" activeCell="C1" sqref="C1"/>
      <selection pane="bottomLeft" activeCell="A5" sqref="A5"/>
      <selection pane="bottomRight" activeCell="B58" sqref="B58"/>
    </sheetView>
  </sheetViews>
  <sheetFormatPr defaultColWidth="8.6640625" defaultRowHeight="14.4" x14ac:dyDescent="0.3"/>
  <cols>
    <col min="1" max="1" width="7" customWidth="1"/>
    <col min="2" max="2" width="52" customWidth="1"/>
    <col min="3" max="5" width="13" customWidth="1"/>
    <col min="6" max="6" width="11" customWidth="1"/>
    <col min="7" max="7" width="16" customWidth="1"/>
    <col min="8" max="8" width="9" customWidth="1"/>
    <col min="9" max="9" width="30" customWidth="1"/>
    <col min="10" max="10" width="70" customWidth="1"/>
  </cols>
  <sheetData>
    <row r="1" spans="1:10" ht="19.2" x14ac:dyDescent="0.35">
      <c r="A1" s="11" t="s">
        <v>17</v>
      </c>
    </row>
    <row r="2" spans="1:10" x14ac:dyDescent="0.3">
      <c r="A2" s="12" t="s">
        <v>18</v>
      </c>
    </row>
    <row r="3" spans="1:10" x14ac:dyDescent="0.3">
      <c r="A3" s="14" t="s">
        <v>19</v>
      </c>
    </row>
    <row r="4" spans="1:10" ht="30" customHeight="1" x14ac:dyDescent="0.3">
      <c r="A4" s="80" t="s">
        <v>20</v>
      </c>
      <c r="B4" s="80" t="s">
        <v>21</v>
      </c>
      <c r="C4" s="80" t="s">
        <v>22</v>
      </c>
      <c r="D4" s="80" t="s">
        <v>23</v>
      </c>
      <c r="E4" s="80" t="s">
        <v>24</v>
      </c>
      <c r="F4" s="80" t="s">
        <v>25</v>
      </c>
      <c r="G4" s="80" t="s">
        <v>26</v>
      </c>
      <c r="H4" s="80" t="s">
        <v>27</v>
      </c>
      <c r="I4" s="80" t="s">
        <v>28</v>
      </c>
      <c r="J4" s="80" t="s">
        <v>29</v>
      </c>
    </row>
    <row r="5" spans="1:10" x14ac:dyDescent="0.3">
      <c r="A5" s="15" t="s">
        <v>30</v>
      </c>
      <c r="B5" s="16"/>
      <c r="C5" s="16"/>
      <c r="D5" s="16"/>
      <c r="E5" s="16"/>
      <c r="F5" s="16"/>
      <c r="G5" s="16"/>
      <c r="H5" s="16"/>
      <c r="I5" s="16"/>
      <c r="J5" s="16"/>
    </row>
    <row r="6" spans="1:10" x14ac:dyDescent="0.3">
      <c r="A6" s="14" t="s">
        <v>31</v>
      </c>
      <c r="B6" s="17" t="s">
        <v>32</v>
      </c>
      <c r="C6" s="18">
        <v>146767</v>
      </c>
      <c r="D6" s="18">
        <v>153670</v>
      </c>
      <c r="E6" s="18">
        <v>162990</v>
      </c>
      <c r="F6" s="14" t="s">
        <v>33</v>
      </c>
      <c r="G6" s="14" t="s">
        <v>34</v>
      </c>
      <c r="H6" s="19" t="s">
        <v>35</v>
      </c>
      <c r="I6" s="14" t="s">
        <v>36</v>
      </c>
      <c r="J6" s="20"/>
    </row>
    <row r="7" spans="1:10" x14ac:dyDescent="0.3">
      <c r="A7" s="14" t="s">
        <v>37</v>
      </c>
      <c r="B7" s="17" t="s">
        <v>38</v>
      </c>
      <c r="C7" s="18">
        <v>30905</v>
      </c>
      <c r="D7" s="18">
        <v>31747</v>
      </c>
      <c r="E7" s="18">
        <v>34424</v>
      </c>
      <c r="F7" s="14" t="s">
        <v>33</v>
      </c>
      <c r="G7" s="14" t="s">
        <v>34</v>
      </c>
      <c r="H7" s="19" t="s">
        <v>35</v>
      </c>
      <c r="I7" s="14" t="s">
        <v>36</v>
      </c>
      <c r="J7" s="20" t="s">
        <v>39</v>
      </c>
    </row>
    <row r="8" spans="1:10" ht="25.5" customHeight="1" x14ac:dyDescent="0.3">
      <c r="A8" s="14" t="s">
        <v>40</v>
      </c>
      <c r="B8" s="17" t="s">
        <v>41</v>
      </c>
      <c r="C8" s="18">
        <v>284</v>
      </c>
      <c r="D8" s="18">
        <v>470</v>
      </c>
      <c r="E8" s="18">
        <v>416</v>
      </c>
      <c r="F8" s="14" t="s">
        <v>33</v>
      </c>
      <c r="G8" s="14" t="s">
        <v>34</v>
      </c>
      <c r="H8" s="19" t="s">
        <v>35</v>
      </c>
      <c r="I8" s="14" t="s">
        <v>36</v>
      </c>
      <c r="J8" s="20" t="s">
        <v>42</v>
      </c>
    </row>
    <row r="9" spans="1:10" x14ac:dyDescent="0.3">
      <c r="A9" s="14" t="s">
        <v>43</v>
      </c>
      <c r="B9" s="17" t="s">
        <v>44</v>
      </c>
      <c r="C9" s="18">
        <v>33322</v>
      </c>
      <c r="D9" s="18">
        <v>35988</v>
      </c>
      <c r="E9" s="18">
        <v>37608</v>
      </c>
      <c r="F9" s="14" t="s">
        <v>33</v>
      </c>
      <c r="G9" s="14" t="s">
        <v>34</v>
      </c>
      <c r="H9" s="19" t="s">
        <v>35</v>
      </c>
      <c r="I9" s="14" t="s">
        <v>36</v>
      </c>
      <c r="J9" s="20"/>
    </row>
    <row r="10" spans="1:10" x14ac:dyDescent="0.3">
      <c r="A10" s="14" t="s">
        <v>45</v>
      </c>
      <c r="B10" s="17" t="s">
        <v>46</v>
      </c>
      <c r="C10" s="18">
        <v>9214</v>
      </c>
      <c r="D10" s="18">
        <v>9740</v>
      </c>
      <c r="E10" s="18">
        <v>10858</v>
      </c>
      <c r="F10" s="14" t="s">
        <v>33</v>
      </c>
      <c r="G10" s="14" t="s">
        <v>34</v>
      </c>
      <c r="H10" s="19" t="s">
        <v>35</v>
      </c>
      <c r="I10" s="14" t="s">
        <v>36</v>
      </c>
      <c r="J10" s="20"/>
    </row>
    <row r="11" spans="1:10" x14ac:dyDescent="0.3">
      <c r="A11" s="14" t="s">
        <v>47</v>
      </c>
      <c r="B11" s="17" t="s">
        <v>48</v>
      </c>
      <c r="C11" s="18">
        <v>24108</v>
      </c>
      <c r="D11" s="18">
        <v>26248</v>
      </c>
      <c r="E11" s="18">
        <v>26750</v>
      </c>
      <c r="F11" s="14" t="s">
        <v>33</v>
      </c>
      <c r="G11" s="14" t="s">
        <v>34</v>
      </c>
      <c r="H11" s="19" t="s">
        <v>35</v>
      </c>
      <c r="I11" s="14" t="s">
        <v>36</v>
      </c>
      <c r="J11" s="20"/>
    </row>
    <row r="12" spans="1:10" x14ac:dyDescent="0.3">
      <c r="A12" s="14" t="s">
        <v>49</v>
      </c>
      <c r="B12" s="17" t="s">
        <v>50</v>
      </c>
      <c r="C12" s="18">
        <v>13</v>
      </c>
      <c r="D12" s="18">
        <v>15</v>
      </c>
      <c r="E12" s="18">
        <v>37</v>
      </c>
      <c r="F12" s="14" t="s">
        <v>33</v>
      </c>
      <c r="G12" s="14" t="s">
        <v>34</v>
      </c>
      <c r="H12" s="19" t="s">
        <v>35</v>
      </c>
      <c r="I12" s="14" t="s">
        <v>36</v>
      </c>
      <c r="J12" s="20"/>
    </row>
    <row r="13" spans="1:10" x14ac:dyDescent="0.3">
      <c r="A13" s="14" t="s">
        <v>51</v>
      </c>
      <c r="B13" s="17" t="s">
        <v>52</v>
      </c>
      <c r="C13" s="18">
        <v>24095</v>
      </c>
      <c r="D13" s="18">
        <v>26233</v>
      </c>
      <c r="E13" s="18">
        <v>26713</v>
      </c>
      <c r="F13" s="14" t="s">
        <v>33</v>
      </c>
      <c r="G13" s="14" t="s">
        <v>34</v>
      </c>
      <c r="H13" s="19" t="s">
        <v>35</v>
      </c>
      <c r="I13" s="14" t="s">
        <v>36</v>
      </c>
      <c r="J13" s="20"/>
    </row>
    <row r="14" spans="1:10" x14ac:dyDescent="0.3">
      <c r="A14" s="15" t="s">
        <v>53</v>
      </c>
      <c r="B14" s="16"/>
      <c r="C14" s="16"/>
      <c r="D14" s="16"/>
      <c r="E14" s="16"/>
      <c r="F14" s="16"/>
      <c r="G14" s="16"/>
      <c r="H14" s="16"/>
      <c r="I14" s="16"/>
      <c r="J14" s="16"/>
    </row>
    <row r="15" spans="1:10" x14ac:dyDescent="0.3">
      <c r="A15" s="14" t="s">
        <v>54</v>
      </c>
      <c r="B15" s="17" t="s">
        <v>55</v>
      </c>
      <c r="C15" s="18">
        <v>75795</v>
      </c>
      <c r="D15" s="18">
        <v>88461</v>
      </c>
      <c r="E15" s="18">
        <v>96203</v>
      </c>
      <c r="F15" s="14" t="s">
        <v>33</v>
      </c>
      <c r="G15" s="14" t="s">
        <v>34</v>
      </c>
      <c r="H15" s="19" t="s">
        <v>35</v>
      </c>
      <c r="I15" s="14" t="s">
        <v>36</v>
      </c>
      <c r="J15" s="20"/>
    </row>
    <row r="16" spans="1:10" x14ac:dyDescent="0.3">
      <c r="A16" s="14" t="s">
        <v>56</v>
      </c>
      <c r="B16" s="17" t="s">
        <v>57</v>
      </c>
      <c r="C16" s="18">
        <v>0</v>
      </c>
      <c r="D16" s="18">
        <v>0</v>
      </c>
      <c r="E16" s="18">
        <v>0</v>
      </c>
      <c r="F16" s="14" t="s">
        <v>33</v>
      </c>
      <c r="G16" s="14" t="s">
        <v>34</v>
      </c>
      <c r="H16" s="19" t="s">
        <v>35</v>
      </c>
      <c r="I16" s="14" t="s">
        <v>36</v>
      </c>
      <c r="J16" s="20" t="s">
        <v>58</v>
      </c>
    </row>
    <row r="17" spans="1:10" x14ac:dyDescent="0.3">
      <c r="A17" s="14" t="s">
        <v>59</v>
      </c>
      <c r="B17" s="17" t="s">
        <v>60</v>
      </c>
      <c r="C17" s="18">
        <v>13793</v>
      </c>
      <c r="D17" s="18">
        <v>12818</v>
      </c>
      <c r="E17" s="18">
        <v>12800</v>
      </c>
      <c r="F17" s="14" t="s">
        <v>33</v>
      </c>
      <c r="G17" s="14" t="s">
        <v>34</v>
      </c>
      <c r="H17" s="19" t="s">
        <v>35</v>
      </c>
      <c r="I17" s="14" t="s">
        <v>36</v>
      </c>
      <c r="J17" s="20"/>
    </row>
    <row r="18" spans="1:10" x14ac:dyDescent="0.3">
      <c r="A18" s="14" t="s">
        <v>61</v>
      </c>
      <c r="B18" s="17" t="s">
        <v>62</v>
      </c>
      <c r="C18" s="18">
        <v>6882</v>
      </c>
      <c r="D18" s="18">
        <v>6552</v>
      </c>
      <c r="E18" s="18">
        <v>6311</v>
      </c>
      <c r="F18" s="14" t="s">
        <v>33</v>
      </c>
      <c r="G18" s="14" t="s">
        <v>34</v>
      </c>
      <c r="H18" s="19" t="s">
        <v>35</v>
      </c>
      <c r="I18" s="14" t="s">
        <v>36</v>
      </c>
      <c r="J18" s="20"/>
    </row>
    <row r="19" spans="1:10" x14ac:dyDescent="0.3">
      <c r="A19" s="14" t="s">
        <v>63</v>
      </c>
      <c r="B19" s="17" t="s">
        <v>64</v>
      </c>
      <c r="C19" s="18">
        <v>2579</v>
      </c>
      <c r="D19" s="18">
        <v>2201</v>
      </c>
      <c r="E19" s="18">
        <v>2237</v>
      </c>
      <c r="F19" s="14" t="s">
        <v>33</v>
      </c>
      <c r="G19" s="14" t="s">
        <v>34</v>
      </c>
      <c r="H19" s="19" t="s">
        <v>35</v>
      </c>
      <c r="I19" s="14" t="s">
        <v>36</v>
      </c>
      <c r="J19" s="20" t="s">
        <v>65</v>
      </c>
    </row>
    <row r="20" spans="1:10" x14ac:dyDescent="0.3">
      <c r="A20" s="14" t="s">
        <v>66</v>
      </c>
      <c r="B20" s="17" t="s">
        <v>67</v>
      </c>
      <c r="C20" s="18">
        <v>12173</v>
      </c>
      <c r="D20" s="18">
        <v>14786</v>
      </c>
      <c r="E20" s="18">
        <v>24455</v>
      </c>
      <c r="F20" s="14" t="s">
        <v>33</v>
      </c>
      <c r="G20" s="14" t="s">
        <v>34</v>
      </c>
      <c r="H20" s="19" t="s">
        <v>35</v>
      </c>
      <c r="I20" s="14" t="s">
        <v>36</v>
      </c>
      <c r="J20" s="20"/>
    </row>
    <row r="21" spans="1:10" x14ac:dyDescent="0.3">
      <c r="A21" s="14" t="s">
        <v>68</v>
      </c>
      <c r="B21" s="17" t="s">
        <v>69</v>
      </c>
      <c r="C21" s="18">
        <v>19478</v>
      </c>
      <c r="D21" s="18">
        <v>24623</v>
      </c>
      <c r="E21" s="18">
        <v>23541</v>
      </c>
      <c r="F21" s="14" t="s">
        <v>33</v>
      </c>
      <c r="G21" s="14" t="s">
        <v>34</v>
      </c>
      <c r="H21" s="19" t="s">
        <v>35</v>
      </c>
      <c r="I21" s="14" t="s">
        <v>36</v>
      </c>
      <c r="J21" s="20" t="s">
        <v>70</v>
      </c>
    </row>
    <row r="22" spans="1:10" ht="25.5" customHeight="1" x14ac:dyDescent="0.3">
      <c r="A22" s="14" t="s">
        <v>71</v>
      </c>
      <c r="B22" s="17" t="s">
        <v>72</v>
      </c>
      <c r="C22" s="18">
        <v>31695</v>
      </c>
      <c r="D22" s="18">
        <v>50638</v>
      </c>
      <c r="E22" s="18">
        <v>54249</v>
      </c>
      <c r="F22" s="14" t="s">
        <v>33</v>
      </c>
      <c r="G22" s="14" t="s">
        <v>34</v>
      </c>
      <c r="H22" s="19" t="s">
        <v>35</v>
      </c>
      <c r="I22" s="14" t="s">
        <v>36</v>
      </c>
      <c r="J22" s="20" t="s">
        <v>73</v>
      </c>
    </row>
    <row r="23" spans="1:10" x14ac:dyDescent="0.3">
      <c r="A23" s="14" t="s">
        <v>74</v>
      </c>
      <c r="B23" s="17" t="s">
        <v>75</v>
      </c>
      <c r="C23" s="18">
        <v>125816</v>
      </c>
      <c r="D23" s="18">
        <v>137814</v>
      </c>
      <c r="E23" s="18">
        <v>148903</v>
      </c>
      <c r="F23" s="14" t="s">
        <v>33</v>
      </c>
      <c r="G23" s="14" t="s">
        <v>34</v>
      </c>
      <c r="H23" s="19" t="s">
        <v>35</v>
      </c>
      <c r="I23" s="14" t="s">
        <v>36</v>
      </c>
      <c r="J23" s="20"/>
    </row>
    <row r="24" spans="1:10" x14ac:dyDescent="0.3">
      <c r="A24" s="14" t="s">
        <v>76</v>
      </c>
      <c r="B24" s="17" t="s">
        <v>77</v>
      </c>
      <c r="C24" s="18">
        <v>592394</v>
      </c>
      <c r="D24" s="18">
        <v>621821</v>
      </c>
      <c r="E24" s="18">
        <v>652332</v>
      </c>
      <c r="F24" s="14" t="s">
        <v>33</v>
      </c>
      <c r="G24" s="14" t="s">
        <v>34</v>
      </c>
      <c r="H24" s="19" t="s">
        <v>35</v>
      </c>
      <c r="I24" s="14" t="s">
        <v>36</v>
      </c>
      <c r="J24" s="20" t="s">
        <v>78</v>
      </c>
    </row>
    <row r="25" spans="1:10" x14ac:dyDescent="0.3">
      <c r="A25" s="15" t="s">
        <v>79</v>
      </c>
      <c r="B25" s="16"/>
      <c r="C25" s="16"/>
      <c r="D25" s="16"/>
      <c r="E25" s="16"/>
      <c r="F25" s="16"/>
      <c r="G25" s="16"/>
      <c r="H25" s="16"/>
      <c r="I25" s="16"/>
      <c r="J25" s="16"/>
    </row>
    <row r="26" spans="1:10" ht="25.5" customHeight="1" x14ac:dyDescent="0.3">
      <c r="A26" s="14" t="s">
        <v>80</v>
      </c>
      <c r="B26" s="17" t="s">
        <v>81</v>
      </c>
      <c r="C26" s="21">
        <v>0.157</v>
      </c>
      <c r="D26" s="21">
        <v>0.17</v>
      </c>
      <c r="E26" s="21">
        <v>0.22600000000000001</v>
      </c>
      <c r="F26" s="14" t="s">
        <v>82</v>
      </c>
      <c r="G26" s="14" t="s">
        <v>83</v>
      </c>
      <c r="H26" s="19" t="s">
        <v>84</v>
      </c>
      <c r="I26" s="14" t="s">
        <v>85</v>
      </c>
      <c r="J26" s="20" t="s">
        <v>86</v>
      </c>
    </row>
    <row r="27" spans="1:10" ht="25.5" customHeight="1" x14ac:dyDescent="0.3">
      <c r="A27" s="14" t="s">
        <v>87</v>
      </c>
      <c r="B27" s="17" t="s">
        <v>88</v>
      </c>
      <c r="C27" s="21">
        <v>0.249</v>
      </c>
      <c r="D27" s="21">
        <v>0.28299999999999997</v>
      </c>
      <c r="E27" s="21">
        <v>0.31900000000000001</v>
      </c>
      <c r="F27" s="14" t="s">
        <v>82</v>
      </c>
      <c r="G27" s="14" t="s">
        <v>83</v>
      </c>
      <c r="H27" s="19" t="s">
        <v>84</v>
      </c>
      <c r="I27" s="14" t="s">
        <v>85</v>
      </c>
      <c r="J27" s="20" t="s">
        <v>89</v>
      </c>
    </row>
    <row r="28" spans="1:10" x14ac:dyDescent="0.3">
      <c r="A28" s="14" t="s">
        <v>90</v>
      </c>
      <c r="B28" s="17" t="s">
        <v>91</v>
      </c>
      <c r="C28" s="21">
        <v>0.21299999999999999</v>
      </c>
      <c r="D28" s="21">
        <v>0.254</v>
      </c>
      <c r="E28" s="21">
        <v>0.29199999999999998</v>
      </c>
      <c r="F28" s="14" t="s">
        <v>82</v>
      </c>
      <c r="G28" s="14" t="s">
        <v>83</v>
      </c>
      <c r="H28" s="19" t="s">
        <v>84</v>
      </c>
      <c r="I28" s="14" t="s">
        <v>85</v>
      </c>
      <c r="J28" s="20" t="s">
        <v>92</v>
      </c>
    </row>
    <row r="29" spans="1:10" x14ac:dyDescent="0.3">
      <c r="A29" s="14" t="s">
        <v>93</v>
      </c>
      <c r="B29" s="17" t="s">
        <v>94</v>
      </c>
      <c r="C29" s="22">
        <v>62</v>
      </c>
      <c r="D29" s="22">
        <v>71</v>
      </c>
      <c r="E29" s="22">
        <v>69</v>
      </c>
      <c r="F29" s="14" t="s">
        <v>95</v>
      </c>
      <c r="G29" s="14" t="s">
        <v>83</v>
      </c>
      <c r="H29" s="19" t="s">
        <v>84</v>
      </c>
      <c r="I29" s="14" t="s">
        <v>85</v>
      </c>
      <c r="J29" s="20" t="s">
        <v>96</v>
      </c>
    </row>
    <row r="30" spans="1:10" x14ac:dyDescent="0.3">
      <c r="A30" s="14" t="s">
        <v>97</v>
      </c>
      <c r="B30" s="17" t="s">
        <v>98</v>
      </c>
      <c r="C30" s="21">
        <v>0.21099999999999999</v>
      </c>
      <c r="D30" s="21">
        <v>0.20699999999999999</v>
      </c>
      <c r="E30" s="21">
        <v>0.21099999999999999</v>
      </c>
      <c r="F30" s="14" t="s">
        <v>82</v>
      </c>
      <c r="G30" s="14" t="s">
        <v>83</v>
      </c>
      <c r="H30" s="19" t="s">
        <v>84</v>
      </c>
      <c r="I30" s="14" t="s">
        <v>85</v>
      </c>
      <c r="J30" s="20"/>
    </row>
    <row r="31" spans="1:10" x14ac:dyDescent="0.3">
      <c r="A31" s="14" t="s">
        <v>99</v>
      </c>
      <c r="B31" s="17" t="s">
        <v>100</v>
      </c>
      <c r="C31" s="21">
        <v>1.7999999999999999E-2</v>
      </c>
      <c r="D31" s="21">
        <v>3.1E-2</v>
      </c>
      <c r="E31" s="21">
        <v>2.1999999999999999E-2</v>
      </c>
      <c r="F31" s="14" t="s">
        <v>82</v>
      </c>
      <c r="G31" s="14" t="s">
        <v>83</v>
      </c>
      <c r="H31" s="19" t="s">
        <v>84</v>
      </c>
      <c r="I31" s="14" t="s">
        <v>85</v>
      </c>
      <c r="J31" s="20"/>
    </row>
    <row r="32" spans="1:10" x14ac:dyDescent="0.3">
      <c r="A32" s="14" t="s">
        <v>101</v>
      </c>
      <c r="B32" s="17" t="s">
        <v>102</v>
      </c>
      <c r="C32" s="21">
        <v>0.22700000000000001</v>
      </c>
      <c r="D32" s="21">
        <v>0.23400000000000001</v>
      </c>
      <c r="E32" s="21">
        <v>0.23100000000000001</v>
      </c>
      <c r="F32" s="14" t="s">
        <v>82</v>
      </c>
      <c r="G32" s="14" t="s">
        <v>83</v>
      </c>
      <c r="H32" s="19" t="s">
        <v>84</v>
      </c>
      <c r="I32" s="14" t="s">
        <v>85</v>
      </c>
      <c r="J32" s="20"/>
    </row>
    <row r="33" spans="1:10" x14ac:dyDescent="0.3">
      <c r="A33" s="14" t="s">
        <v>103</v>
      </c>
      <c r="B33" s="17" t="s">
        <v>104</v>
      </c>
      <c r="C33" s="21">
        <v>6.3E-2</v>
      </c>
      <c r="D33" s="21">
        <v>6.3E-2</v>
      </c>
      <c r="E33" s="21">
        <v>6.7000000000000004E-2</v>
      </c>
      <c r="F33" s="14" t="s">
        <v>82</v>
      </c>
      <c r="G33" s="14" t="s">
        <v>83</v>
      </c>
      <c r="H33" s="19" t="s">
        <v>84</v>
      </c>
      <c r="I33" s="14" t="s">
        <v>85</v>
      </c>
      <c r="J33" s="20"/>
    </row>
    <row r="34" spans="1:10" x14ac:dyDescent="0.3">
      <c r="A34" s="14" t="s">
        <v>105</v>
      </c>
      <c r="B34" s="17" t="s">
        <v>106</v>
      </c>
      <c r="C34" s="21">
        <v>0.27700000000000002</v>
      </c>
      <c r="D34" s="21">
        <v>0.27100000000000002</v>
      </c>
      <c r="E34" s="21">
        <v>0.28899999999999998</v>
      </c>
      <c r="F34" s="14" t="s">
        <v>82</v>
      </c>
      <c r="G34" s="14" t="s">
        <v>83</v>
      </c>
      <c r="H34" s="19" t="s">
        <v>84</v>
      </c>
      <c r="I34" s="14" t="s">
        <v>85</v>
      </c>
      <c r="J34" s="20"/>
    </row>
    <row r="35" spans="1:10" x14ac:dyDescent="0.3">
      <c r="A35" s="14" t="s">
        <v>107</v>
      </c>
      <c r="B35" s="17" t="s">
        <v>108</v>
      </c>
      <c r="C35" s="21">
        <v>0.16400000000000001</v>
      </c>
      <c r="D35" s="21">
        <v>0.17100000000000001</v>
      </c>
      <c r="E35" s="21">
        <v>0.16400000000000001</v>
      </c>
      <c r="F35" s="14" t="s">
        <v>82</v>
      </c>
      <c r="G35" s="14" t="s">
        <v>83</v>
      </c>
      <c r="H35" s="19" t="s">
        <v>84</v>
      </c>
      <c r="I35" s="14" t="s">
        <v>85</v>
      </c>
      <c r="J35" s="20"/>
    </row>
    <row r="36" spans="1:10" x14ac:dyDescent="0.3">
      <c r="A36" s="14" t="s">
        <v>109</v>
      </c>
      <c r="B36" s="17" t="s">
        <v>110</v>
      </c>
      <c r="C36" s="21">
        <v>0.312</v>
      </c>
      <c r="D36" s="21">
        <v>0.32100000000000001</v>
      </c>
      <c r="E36" s="21">
        <v>0.28999999999999998</v>
      </c>
      <c r="F36" s="14" t="s">
        <v>82</v>
      </c>
      <c r="G36" s="14" t="s">
        <v>83</v>
      </c>
      <c r="H36" s="19" t="s">
        <v>84</v>
      </c>
      <c r="I36" s="14" t="s">
        <v>85</v>
      </c>
      <c r="J36" s="20" t="s">
        <v>111</v>
      </c>
    </row>
    <row r="37" spans="1:10" x14ac:dyDescent="0.3">
      <c r="A37" s="14" t="s">
        <v>112</v>
      </c>
      <c r="B37" s="17" t="s">
        <v>113</v>
      </c>
      <c r="C37" s="21">
        <v>0.69499999999999995</v>
      </c>
      <c r="D37" s="21">
        <v>0.8</v>
      </c>
      <c r="E37" s="21">
        <v>0.51700000000000002</v>
      </c>
      <c r="F37" s="14" t="s">
        <v>82</v>
      </c>
      <c r="G37" s="14" t="s">
        <v>83</v>
      </c>
      <c r="H37" s="19" t="s">
        <v>84</v>
      </c>
      <c r="I37" s="14" t="s">
        <v>85</v>
      </c>
      <c r="J37" s="20" t="s">
        <v>114</v>
      </c>
    </row>
    <row r="38" spans="1:10" x14ac:dyDescent="0.3">
      <c r="A38" s="14" t="s">
        <v>115</v>
      </c>
      <c r="B38" s="17" t="s">
        <v>116</v>
      </c>
      <c r="C38" s="23">
        <v>4</v>
      </c>
      <c r="D38" s="23">
        <v>4</v>
      </c>
      <c r="E38" s="23">
        <v>4</v>
      </c>
      <c r="F38" s="14" t="s">
        <v>117</v>
      </c>
      <c r="G38" s="14" t="s">
        <v>83</v>
      </c>
      <c r="H38" s="19" t="s">
        <v>84</v>
      </c>
      <c r="I38" s="14" t="s">
        <v>85</v>
      </c>
      <c r="J38" s="20" t="s">
        <v>118</v>
      </c>
    </row>
    <row r="39" spans="1:10" x14ac:dyDescent="0.3">
      <c r="A39" s="14" t="s">
        <v>119</v>
      </c>
      <c r="B39" s="17" t="s">
        <v>120</v>
      </c>
      <c r="C39" s="21">
        <v>0.69699999999999995</v>
      </c>
      <c r="D39" s="21">
        <v>0.69899999999999995</v>
      </c>
      <c r="E39" s="21">
        <v>0.69499999999999995</v>
      </c>
      <c r="F39" s="14" t="s">
        <v>82</v>
      </c>
      <c r="G39" s="14" t="s">
        <v>83</v>
      </c>
      <c r="H39" s="19" t="s">
        <v>84</v>
      </c>
      <c r="I39" s="14" t="s">
        <v>85</v>
      </c>
      <c r="J39" s="20"/>
    </row>
    <row r="40" spans="1:10" x14ac:dyDescent="0.3">
      <c r="A40" s="14" t="s">
        <v>121</v>
      </c>
      <c r="B40" s="17" t="s">
        <v>122</v>
      </c>
      <c r="C40" s="21">
        <v>0.97399999999999998</v>
      </c>
      <c r="D40" s="21">
        <v>0.97499999999999998</v>
      </c>
      <c r="E40" s="21">
        <v>0.96899999999999997</v>
      </c>
      <c r="F40" s="14" t="s">
        <v>82</v>
      </c>
      <c r="G40" s="14" t="s">
        <v>83</v>
      </c>
      <c r="H40" s="19" t="s">
        <v>84</v>
      </c>
      <c r="I40" s="14" t="s">
        <v>85</v>
      </c>
      <c r="J40" s="20" t="s">
        <v>123</v>
      </c>
    </row>
    <row r="41" spans="1:10" x14ac:dyDescent="0.3">
      <c r="A41" s="14" t="s">
        <v>124</v>
      </c>
      <c r="B41" s="17" t="s">
        <v>125</v>
      </c>
      <c r="C41" s="21">
        <v>0.53400000000000003</v>
      </c>
      <c r="D41" s="21">
        <v>0.53800000000000003</v>
      </c>
      <c r="E41" s="21">
        <v>0.52700000000000002</v>
      </c>
      <c r="F41" s="14" t="s">
        <v>82</v>
      </c>
      <c r="G41" s="14" t="s">
        <v>83</v>
      </c>
      <c r="H41" s="19" t="s">
        <v>84</v>
      </c>
      <c r="I41" s="14" t="s">
        <v>85</v>
      </c>
      <c r="J41" s="20"/>
    </row>
    <row r="42" spans="1:10" x14ac:dyDescent="0.3">
      <c r="A42" s="15" t="s">
        <v>126</v>
      </c>
      <c r="B42" s="16"/>
      <c r="C42" s="16"/>
      <c r="D42" s="16"/>
      <c r="E42" s="16"/>
      <c r="F42" s="16"/>
      <c r="G42" s="16"/>
      <c r="H42" s="16"/>
      <c r="I42" s="16"/>
      <c r="J42" s="16"/>
    </row>
    <row r="43" spans="1:10" x14ac:dyDescent="0.3">
      <c r="A43" s="14" t="s">
        <v>127</v>
      </c>
      <c r="B43" s="17" t="s">
        <v>128</v>
      </c>
      <c r="C43" s="24">
        <v>57.63</v>
      </c>
      <c r="D43" s="24">
        <v>63.39</v>
      </c>
      <c r="E43" s="24">
        <v>64.5</v>
      </c>
      <c r="F43" s="14" t="s">
        <v>129</v>
      </c>
      <c r="G43" s="14" t="s">
        <v>34</v>
      </c>
      <c r="H43" s="19" t="s">
        <v>35</v>
      </c>
      <c r="I43" s="14" t="s">
        <v>36</v>
      </c>
      <c r="J43" s="20" t="s">
        <v>130</v>
      </c>
    </row>
    <row r="44" spans="1:10" x14ac:dyDescent="0.3">
      <c r="A44" s="14" t="s">
        <v>131</v>
      </c>
      <c r="B44" s="17" t="s">
        <v>132</v>
      </c>
      <c r="C44" s="25">
        <v>182</v>
      </c>
      <c r="D44" s="25">
        <v>213</v>
      </c>
      <c r="E44" s="25">
        <v>231</v>
      </c>
      <c r="F44" s="14" t="s">
        <v>129</v>
      </c>
      <c r="G44" s="14" t="s">
        <v>34</v>
      </c>
      <c r="H44" s="19" t="s">
        <v>35</v>
      </c>
      <c r="I44" s="14" t="s">
        <v>36</v>
      </c>
      <c r="J44" s="20"/>
    </row>
    <row r="45" spans="1:10" x14ac:dyDescent="0.3">
      <c r="A45" s="14" t="s">
        <v>133</v>
      </c>
      <c r="B45" s="17" t="s">
        <v>134</v>
      </c>
      <c r="C45" s="26">
        <v>0.21</v>
      </c>
      <c r="D45" s="26">
        <v>0.05</v>
      </c>
      <c r="E45" s="26">
        <v>0.06</v>
      </c>
      <c r="F45" s="14" t="s">
        <v>82</v>
      </c>
      <c r="G45" s="14" t="s">
        <v>34</v>
      </c>
      <c r="H45" s="19" t="s">
        <v>135</v>
      </c>
      <c r="I45" s="14" t="s">
        <v>136</v>
      </c>
      <c r="J45" s="20" t="s">
        <v>137</v>
      </c>
    </row>
    <row r="46" spans="1:10" x14ac:dyDescent="0.3">
      <c r="A46" s="14" t="s">
        <v>138</v>
      </c>
      <c r="B46" s="17" t="s">
        <v>139</v>
      </c>
      <c r="C46" s="26">
        <v>0.09</v>
      </c>
      <c r="D46" s="26">
        <v>0.09</v>
      </c>
      <c r="E46" s="26">
        <v>0.02</v>
      </c>
      <c r="F46" s="14" t="s">
        <v>82</v>
      </c>
      <c r="G46" s="14" t="s">
        <v>34</v>
      </c>
      <c r="H46" s="19" t="s">
        <v>135</v>
      </c>
      <c r="I46" s="14" t="s">
        <v>136</v>
      </c>
      <c r="J46" s="20" t="s">
        <v>137</v>
      </c>
    </row>
    <row r="47" spans="1:10" x14ac:dyDescent="0.3">
      <c r="A47" s="15" t="s">
        <v>140</v>
      </c>
      <c r="B47" s="16"/>
      <c r="C47" s="16"/>
      <c r="D47" s="16"/>
      <c r="E47" s="16"/>
      <c r="F47" s="16"/>
      <c r="G47" s="16"/>
      <c r="H47" s="16"/>
      <c r="I47" s="16"/>
      <c r="J47" s="16"/>
    </row>
    <row r="48" spans="1:10" x14ac:dyDescent="0.3">
      <c r="A48" s="14" t="s">
        <v>141</v>
      </c>
      <c r="B48" s="17" t="s">
        <v>142</v>
      </c>
      <c r="C48" s="18">
        <v>146767</v>
      </c>
      <c r="D48" s="18">
        <v>153670</v>
      </c>
      <c r="E48" s="18">
        <v>162990</v>
      </c>
      <c r="F48" s="14" t="s">
        <v>33</v>
      </c>
      <c r="G48" s="14" t="s">
        <v>34</v>
      </c>
      <c r="H48" s="19" t="s">
        <v>135</v>
      </c>
      <c r="I48" s="14" t="s">
        <v>136</v>
      </c>
      <c r="J48" s="20" t="s">
        <v>143</v>
      </c>
    </row>
    <row r="49" spans="1:10" x14ac:dyDescent="0.3">
      <c r="A49" s="14" t="s">
        <v>144</v>
      </c>
      <c r="B49" s="17" t="s">
        <v>145</v>
      </c>
      <c r="C49" s="18">
        <v>24108</v>
      </c>
      <c r="D49" s="18">
        <v>26248</v>
      </c>
      <c r="E49" s="18">
        <v>26750</v>
      </c>
      <c r="F49" s="14" t="s">
        <v>33</v>
      </c>
      <c r="G49" s="14" t="s">
        <v>34</v>
      </c>
      <c r="H49" s="19" t="s">
        <v>135</v>
      </c>
      <c r="I49" s="14" t="s">
        <v>136</v>
      </c>
      <c r="J49" s="20" t="s">
        <v>146</v>
      </c>
    </row>
    <row r="50" spans="1:10" x14ac:dyDescent="0.3">
      <c r="A50" s="14" t="s">
        <v>147</v>
      </c>
      <c r="B50" s="17" t="s">
        <v>148</v>
      </c>
      <c r="C50" s="18">
        <v>121641</v>
      </c>
      <c r="D50" s="18">
        <v>146767</v>
      </c>
      <c r="E50" s="18">
        <v>153670</v>
      </c>
      <c r="F50" s="14" t="s">
        <v>33</v>
      </c>
      <c r="G50" s="14" t="s">
        <v>34</v>
      </c>
      <c r="H50" s="19" t="s">
        <v>135</v>
      </c>
      <c r="I50" s="14" t="s">
        <v>136</v>
      </c>
      <c r="J50" s="20" t="s">
        <v>149</v>
      </c>
    </row>
    <row r="51" spans="1:10" x14ac:dyDescent="0.3">
      <c r="A51" s="14" t="s">
        <v>150</v>
      </c>
      <c r="B51" s="17" t="s">
        <v>151</v>
      </c>
      <c r="C51" s="18">
        <v>22146</v>
      </c>
      <c r="D51" s="18">
        <v>24108</v>
      </c>
      <c r="E51" s="18">
        <v>26248</v>
      </c>
      <c r="F51" s="14" t="s">
        <v>33</v>
      </c>
      <c r="G51" s="14" t="s">
        <v>34</v>
      </c>
      <c r="H51" s="19" t="s">
        <v>135</v>
      </c>
      <c r="I51" s="14" t="s">
        <v>136</v>
      </c>
      <c r="J51" s="20" t="s">
        <v>152</v>
      </c>
    </row>
    <row r="52" spans="1:10" x14ac:dyDescent="0.3">
      <c r="A52" s="14" t="s">
        <v>153</v>
      </c>
      <c r="B52" s="17" t="s">
        <v>154</v>
      </c>
      <c r="C52" s="25">
        <v>343234</v>
      </c>
      <c r="D52" s="25">
        <v>317240</v>
      </c>
      <c r="E52" s="25">
        <v>323578</v>
      </c>
      <c r="F52" s="14" t="s">
        <v>155</v>
      </c>
      <c r="G52" s="14" t="s">
        <v>34</v>
      </c>
      <c r="H52" s="19" t="s">
        <v>135</v>
      </c>
      <c r="I52" s="14" t="s">
        <v>136</v>
      </c>
      <c r="J52" s="20" t="s">
        <v>118</v>
      </c>
    </row>
    <row r="53" spans="1:10" x14ac:dyDescent="0.3">
      <c r="A53" s="14" t="s">
        <v>156</v>
      </c>
      <c r="B53" s="17" t="s">
        <v>157</v>
      </c>
      <c r="C53" s="18">
        <v>18212</v>
      </c>
      <c r="D53" s="18">
        <v>18562</v>
      </c>
      <c r="E53" s="18">
        <v>19277</v>
      </c>
      <c r="F53" s="14" t="s">
        <v>158</v>
      </c>
      <c r="G53" s="14" t="s">
        <v>34</v>
      </c>
      <c r="H53" s="19" t="s">
        <v>135</v>
      </c>
      <c r="I53" s="14" t="s">
        <v>136</v>
      </c>
      <c r="J53" s="20" t="s">
        <v>118</v>
      </c>
    </row>
    <row r="54" spans="1:10" x14ac:dyDescent="0.3">
      <c r="A54" s="90" t="s">
        <v>159</v>
      </c>
      <c r="B54" s="16"/>
      <c r="C54" s="16"/>
      <c r="D54" s="16"/>
      <c r="E54" s="16"/>
      <c r="F54" s="16"/>
      <c r="G54" s="16"/>
      <c r="H54" s="16"/>
      <c r="I54" s="16"/>
      <c r="J54" s="16"/>
    </row>
    <row r="55" spans="1:10" x14ac:dyDescent="0.3">
      <c r="A55" s="14" t="s">
        <v>160</v>
      </c>
      <c r="B55" s="17" t="s">
        <v>161</v>
      </c>
      <c r="C55" s="27" t="s">
        <v>162</v>
      </c>
      <c r="D55" s="27" t="s">
        <v>162</v>
      </c>
      <c r="E55" s="27" t="s">
        <v>162</v>
      </c>
      <c r="F55" s="14" t="s">
        <v>163</v>
      </c>
      <c r="G55" s="14" t="s">
        <v>164</v>
      </c>
      <c r="H55" s="19" t="s">
        <v>35</v>
      </c>
      <c r="I55" s="14" t="s">
        <v>36</v>
      </c>
      <c r="J55" s="20"/>
    </row>
    <row r="56" spans="1:10" x14ac:dyDescent="0.3">
      <c r="A56" s="14" t="s">
        <v>165</v>
      </c>
      <c r="B56" s="17" t="s">
        <v>166</v>
      </c>
      <c r="C56" s="27" t="s">
        <v>167</v>
      </c>
      <c r="D56" s="27" t="s">
        <v>167</v>
      </c>
      <c r="E56" s="27" t="s">
        <v>167</v>
      </c>
      <c r="F56" s="14" t="s">
        <v>163</v>
      </c>
      <c r="G56" s="14" t="s">
        <v>164</v>
      </c>
      <c r="H56" s="19" t="s">
        <v>35</v>
      </c>
      <c r="I56" s="14" t="s">
        <v>36</v>
      </c>
      <c r="J56" s="20"/>
    </row>
    <row r="57" spans="1:10" x14ac:dyDescent="0.3">
      <c r="A57" s="14" t="s">
        <v>168</v>
      </c>
      <c r="B57" s="17" t="s">
        <v>169</v>
      </c>
      <c r="C57" s="27" t="s">
        <v>170</v>
      </c>
      <c r="D57" s="27" t="s">
        <v>170</v>
      </c>
      <c r="E57" s="27" t="s">
        <v>170</v>
      </c>
      <c r="F57" s="14" t="s">
        <v>163</v>
      </c>
      <c r="G57" s="14" t="s">
        <v>164</v>
      </c>
      <c r="H57" s="19" t="s">
        <v>35</v>
      </c>
      <c r="I57" s="14" t="s">
        <v>36</v>
      </c>
      <c r="J57" s="20"/>
    </row>
    <row r="58" spans="1:10" x14ac:dyDescent="0.3">
      <c r="A58" s="14" t="s">
        <v>171</v>
      </c>
      <c r="B58" s="17" t="s">
        <v>172</v>
      </c>
      <c r="C58" s="27" t="s">
        <v>173</v>
      </c>
      <c r="D58" s="27" t="s">
        <v>173</v>
      </c>
      <c r="E58" s="27" t="s">
        <v>173</v>
      </c>
      <c r="F58" s="14" t="s">
        <v>163</v>
      </c>
      <c r="G58" s="14" t="s">
        <v>164</v>
      </c>
      <c r="H58" s="19" t="s">
        <v>35</v>
      </c>
      <c r="I58" s="14" t="s">
        <v>36</v>
      </c>
      <c r="J58" s="20"/>
    </row>
    <row r="60" spans="1:10" x14ac:dyDescent="0.3">
      <c r="A60" s="12" t="s">
        <v>174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0"/>
  <sheetViews>
    <sheetView showGridLines="0" zoomScaleNormal="100" workbookViewId="0">
      <pane xSplit="2" ySplit="4" topLeftCell="C13" activePane="bottomRight" state="frozen"/>
      <selection pane="topRight" activeCell="C1" sqref="C1"/>
      <selection pane="bottomLeft" activeCell="A5" sqref="A5"/>
      <selection pane="bottomRight" activeCell="H66" sqref="H66"/>
    </sheetView>
  </sheetViews>
  <sheetFormatPr defaultColWidth="8.6640625" defaultRowHeight="14.4" x14ac:dyDescent="0.3"/>
  <cols>
    <col min="1" max="1" width="7" customWidth="1"/>
    <col min="2" max="2" width="58" customWidth="1"/>
    <col min="3" max="5" width="14" customWidth="1"/>
    <col min="6" max="6" width="9" customWidth="1"/>
    <col min="7" max="7" width="22" customWidth="1"/>
    <col min="8" max="8" width="54" customWidth="1"/>
    <col min="9" max="9" width="66" customWidth="1"/>
  </cols>
  <sheetData>
    <row r="1" spans="1:9" ht="19.2" x14ac:dyDescent="0.35">
      <c r="A1" s="11" t="s">
        <v>175</v>
      </c>
    </row>
    <row r="2" spans="1:9" x14ac:dyDescent="0.3">
      <c r="A2" s="12" t="s">
        <v>176</v>
      </c>
    </row>
    <row r="4" spans="1:9" ht="30" customHeight="1" x14ac:dyDescent="0.3">
      <c r="A4" s="80" t="s">
        <v>20</v>
      </c>
      <c r="B4" s="80" t="s">
        <v>177</v>
      </c>
      <c r="C4" s="80" t="s">
        <v>22</v>
      </c>
      <c r="D4" s="80" t="s">
        <v>23</v>
      </c>
      <c r="E4" s="80" t="s">
        <v>24</v>
      </c>
      <c r="F4" s="80" t="s">
        <v>25</v>
      </c>
      <c r="G4" s="80" t="s">
        <v>6</v>
      </c>
      <c r="H4" s="80" t="s">
        <v>178</v>
      </c>
      <c r="I4" s="80" t="s">
        <v>179</v>
      </c>
    </row>
    <row r="5" spans="1:9" x14ac:dyDescent="0.3">
      <c r="A5" s="90" t="s">
        <v>180</v>
      </c>
      <c r="B5" s="16"/>
      <c r="C5" s="16"/>
      <c r="D5" s="16"/>
      <c r="E5" s="16"/>
      <c r="F5" s="16"/>
      <c r="G5" s="16"/>
      <c r="H5" s="16"/>
      <c r="I5" s="16"/>
    </row>
    <row r="6" spans="1:9" x14ac:dyDescent="0.3">
      <c r="A6" s="14" t="s">
        <v>181</v>
      </c>
      <c r="B6" s="17" t="s">
        <v>182</v>
      </c>
      <c r="C6" s="28">
        <v>5.0000000000000001E-4</v>
      </c>
      <c r="H6" s="14" t="s">
        <v>183</v>
      </c>
    </row>
    <row r="7" spans="1:9" x14ac:dyDescent="0.3">
      <c r="A7" s="14" t="s">
        <v>184</v>
      </c>
      <c r="B7" s="17" t="s">
        <v>185</v>
      </c>
      <c r="C7" s="22">
        <v>365</v>
      </c>
    </row>
    <row r="8" spans="1:9" x14ac:dyDescent="0.3">
      <c r="A8" s="90" t="s">
        <v>186</v>
      </c>
      <c r="B8" s="16"/>
      <c r="C8" s="16"/>
      <c r="D8" s="16"/>
      <c r="E8" s="16"/>
      <c r="F8" s="16"/>
      <c r="G8" s="16"/>
      <c r="H8" s="16"/>
      <c r="I8" s="16"/>
    </row>
    <row r="9" spans="1:9" x14ac:dyDescent="0.3">
      <c r="A9" s="14" t="s">
        <v>187</v>
      </c>
      <c r="B9" s="29" t="s">
        <v>67</v>
      </c>
      <c r="C9" s="30">
        <f>'Raw Data'!C20</f>
        <v>12173</v>
      </c>
      <c r="D9" s="30">
        <f>'Raw Data'!D20</f>
        <v>14786</v>
      </c>
      <c r="E9" s="30">
        <f>'Raw Data'!E20</f>
        <v>24455</v>
      </c>
      <c r="F9" s="14" t="s">
        <v>33</v>
      </c>
      <c r="G9" s="14" t="s">
        <v>34</v>
      </c>
      <c r="H9" s="20" t="s">
        <v>188</v>
      </c>
      <c r="I9" s="20"/>
    </row>
    <row r="10" spans="1:9" x14ac:dyDescent="0.3">
      <c r="A10" s="14" t="s">
        <v>189</v>
      </c>
      <c r="B10" s="29" t="s">
        <v>190</v>
      </c>
      <c r="C10" s="30">
        <f>'Raw Data'!C21</f>
        <v>19478</v>
      </c>
      <c r="D10" s="30">
        <f>'Raw Data'!D21</f>
        <v>24623</v>
      </c>
      <c r="E10" s="30">
        <f>'Raw Data'!E21</f>
        <v>23541</v>
      </c>
      <c r="F10" s="14" t="s">
        <v>33</v>
      </c>
      <c r="G10" s="14" t="s">
        <v>34</v>
      </c>
      <c r="H10" s="20" t="s">
        <v>191</v>
      </c>
      <c r="I10" s="20" t="s">
        <v>192</v>
      </c>
    </row>
    <row r="11" spans="1:9" ht="25.5" customHeight="1" x14ac:dyDescent="0.3">
      <c r="A11" s="14" t="s">
        <v>193</v>
      </c>
      <c r="B11" s="29" t="s">
        <v>194</v>
      </c>
      <c r="C11" s="31">
        <f>C9+C10</f>
        <v>31651</v>
      </c>
      <c r="D11" s="31">
        <f>D9+D10</f>
        <v>39409</v>
      </c>
      <c r="E11" s="31">
        <f>E9+E10</f>
        <v>47996</v>
      </c>
      <c r="F11" s="14" t="s">
        <v>33</v>
      </c>
      <c r="G11" s="14" t="s">
        <v>195</v>
      </c>
      <c r="H11" s="20" t="s">
        <v>196</v>
      </c>
      <c r="I11" s="20" t="s">
        <v>197</v>
      </c>
    </row>
    <row r="12" spans="1:9" x14ac:dyDescent="0.3">
      <c r="A12" s="14" t="s">
        <v>198</v>
      </c>
      <c r="B12" s="29" t="s">
        <v>199</v>
      </c>
      <c r="C12" s="31">
        <f>C11-'Raw Data'!C16</f>
        <v>31651</v>
      </c>
      <c r="D12" s="31">
        <f>D11-'Raw Data'!D16</f>
        <v>39409</v>
      </c>
      <c r="E12" s="31">
        <f>E11-'Raw Data'!E16</f>
        <v>47996</v>
      </c>
      <c r="F12" s="14" t="s">
        <v>33</v>
      </c>
      <c r="G12" s="14" t="s">
        <v>195</v>
      </c>
      <c r="H12" s="20" t="s">
        <v>200</v>
      </c>
      <c r="I12" s="20" t="s">
        <v>201</v>
      </c>
    </row>
    <row r="13" spans="1:9" x14ac:dyDescent="0.3">
      <c r="A13" s="14" t="s">
        <v>202</v>
      </c>
      <c r="B13" s="29" t="s">
        <v>203</v>
      </c>
      <c r="C13" s="32">
        <f>IFERROR(C9/C11,"n.a.")</f>
        <v>0.38460080250229062</v>
      </c>
      <c r="D13" s="32">
        <f>IFERROR(D9/D11,"n.a.")</f>
        <v>0.37519348372199246</v>
      </c>
      <c r="E13" s="32">
        <f>IFERROR(E9/E11,"n.a.")</f>
        <v>0.50952162680223356</v>
      </c>
      <c r="F13" s="14" t="s">
        <v>82</v>
      </c>
      <c r="G13" s="14" t="s">
        <v>195</v>
      </c>
      <c r="H13" s="20" t="s">
        <v>204</v>
      </c>
      <c r="I13" s="20" t="s">
        <v>205</v>
      </c>
    </row>
    <row r="14" spans="1:9" ht="25.5" customHeight="1" x14ac:dyDescent="0.3">
      <c r="A14" s="14" t="s">
        <v>206</v>
      </c>
      <c r="B14" s="29" t="s">
        <v>207</v>
      </c>
      <c r="C14" s="32">
        <f>IFERROR(C11/'Raw Data'!C23,"n.a.")</f>
        <v>0.25156577859731671</v>
      </c>
      <c r="D14" s="32">
        <f>IFERROR(D11/'Raw Data'!D23,"n.a.")</f>
        <v>0.28595788526564792</v>
      </c>
      <c r="E14" s="32">
        <f>IFERROR(E11/'Raw Data'!E23,"n.a.")</f>
        <v>0.3223306447821736</v>
      </c>
      <c r="F14" s="14" t="s">
        <v>82</v>
      </c>
      <c r="G14" s="14" t="s">
        <v>195</v>
      </c>
      <c r="H14" s="20" t="s">
        <v>208</v>
      </c>
      <c r="I14" s="20" t="s">
        <v>209</v>
      </c>
    </row>
    <row r="15" spans="1:9" x14ac:dyDescent="0.3">
      <c r="A15" s="14" t="s">
        <v>210</v>
      </c>
      <c r="B15" s="29" t="s">
        <v>211</v>
      </c>
      <c r="C15" s="33">
        <f>'Raw Data'!C27</f>
        <v>0.249</v>
      </c>
      <c r="D15" s="33">
        <f>'Raw Data'!D27</f>
        <v>0.28299999999999997</v>
      </c>
      <c r="E15" s="33">
        <f>'Raw Data'!E27</f>
        <v>0.31900000000000001</v>
      </c>
      <c r="F15" s="14" t="s">
        <v>82</v>
      </c>
      <c r="G15" s="14" t="s">
        <v>83</v>
      </c>
      <c r="H15" s="20" t="s">
        <v>212</v>
      </c>
      <c r="I15" s="20" t="s">
        <v>213</v>
      </c>
    </row>
    <row r="16" spans="1:9" x14ac:dyDescent="0.3">
      <c r="A16" s="14" t="s">
        <v>214</v>
      </c>
      <c r="B16" s="29" t="s">
        <v>215</v>
      </c>
      <c r="C16" s="34">
        <f>(C14-C15)*100</f>
        <v>0.25657785973167146</v>
      </c>
      <c r="D16" s="34">
        <f>(D14-D15)*100</f>
        <v>0.29578852656479415</v>
      </c>
      <c r="E16" s="34">
        <f>(E14-E15)*100</f>
        <v>0.33306447821735974</v>
      </c>
      <c r="F16" s="14" t="s">
        <v>216</v>
      </c>
      <c r="G16" s="14" t="s">
        <v>217</v>
      </c>
      <c r="H16" s="20" t="s">
        <v>218</v>
      </c>
      <c r="I16" s="20" t="s">
        <v>219</v>
      </c>
    </row>
    <row r="17" spans="1:9" x14ac:dyDescent="0.3">
      <c r="A17" s="14" t="s">
        <v>220</v>
      </c>
      <c r="B17" s="29" t="s">
        <v>221</v>
      </c>
      <c r="C17" s="32">
        <f>IFERROR(C11/'Raw Data'!C6,"n.a.")</f>
        <v>0.21565474527652673</v>
      </c>
      <c r="D17" s="32">
        <f>IFERROR(D11/'Raw Data'!D6,"n.a.")</f>
        <v>0.25645213769766384</v>
      </c>
      <c r="E17" s="32">
        <f>IFERROR(E11/'Raw Data'!E6,"n.a.")</f>
        <v>0.29447205350021471</v>
      </c>
      <c r="F17" s="14" t="s">
        <v>82</v>
      </c>
      <c r="G17" s="14" t="s">
        <v>195</v>
      </c>
      <c r="H17" s="20" t="s">
        <v>222</v>
      </c>
      <c r="I17" s="20"/>
    </row>
    <row r="18" spans="1:9" x14ac:dyDescent="0.3">
      <c r="A18" s="14" t="s">
        <v>223</v>
      </c>
      <c r="B18" s="29" t="s">
        <v>224</v>
      </c>
      <c r="C18" s="33">
        <f>'Raw Data'!C28</f>
        <v>0.21299999999999999</v>
      </c>
      <c r="D18" s="33">
        <f>'Raw Data'!D28</f>
        <v>0.254</v>
      </c>
      <c r="E18" s="33">
        <f>'Raw Data'!E28</f>
        <v>0.29199999999999998</v>
      </c>
      <c r="F18" s="14" t="s">
        <v>82</v>
      </c>
      <c r="G18" s="14" t="s">
        <v>83</v>
      </c>
      <c r="H18" s="20" t="s">
        <v>225</v>
      </c>
      <c r="I18" s="20"/>
    </row>
    <row r="19" spans="1:9" x14ac:dyDescent="0.3">
      <c r="A19" s="14" t="s">
        <v>226</v>
      </c>
      <c r="B19" s="29" t="s">
        <v>215</v>
      </c>
      <c r="C19" s="34">
        <f>(C17-C18)*100</f>
        <v>0.26547452765267321</v>
      </c>
      <c r="D19" s="34">
        <f>(D17-D18)*100</f>
        <v>0.24521376976638365</v>
      </c>
      <c r="E19" s="34">
        <f>(E17-E18)*100</f>
        <v>0.24720535002147326</v>
      </c>
      <c r="F19" s="14" t="s">
        <v>216</v>
      </c>
      <c r="G19" s="14" t="s">
        <v>217</v>
      </c>
      <c r="H19" s="20" t="s">
        <v>227</v>
      </c>
      <c r="I19" s="20"/>
    </row>
    <row r="20" spans="1:9" x14ac:dyDescent="0.3">
      <c r="A20" s="90" t="s">
        <v>228</v>
      </c>
      <c r="B20" s="16"/>
      <c r="C20" s="16"/>
      <c r="D20" s="16"/>
      <c r="E20" s="16"/>
      <c r="F20" s="16"/>
      <c r="G20" s="16"/>
      <c r="H20" s="16"/>
      <c r="I20" s="16"/>
    </row>
    <row r="21" spans="1:9" x14ac:dyDescent="0.3">
      <c r="A21" s="14" t="s">
        <v>229</v>
      </c>
      <c r="B21" s="29" t="s">
        <v>72</v>
      </c>
      <c r="C21" s="30">
        <f>'Raw Data'!C22</f>
        <v>31695</v>
      </c>
      <c r="D21" s="30">
        <f>'Raw Data'!D22</f>
        <v>50638</v>
      </c>
      <c r="E21" s="30">
        <f>'Raw Data'!E22</f>
        <v>54249</v>
      </c>
      <c r="F21" s="14" t="s">
        <v>33</v>
      </c>
      <c r="G21" s="14" t="s">
        <v>34</v>
      </c>
      <c r="H21" s="20" t="s">
        <v>230</v>
      </c>
      <c r="I21" s="20" t="s">
        <v>231</v>
      </c>
    </row>
    <row r="22" spans="1:9" x14ac:dyDescent="0.3">
      <c r="A22" s="14" t="s">
        <v>232</v>
      </c>
      <c r="B22" s="29" t="s">
        <v>233</v>
      </c>
      <c r="C22" s="32">
        <f>IFERROR(C21/'Raw Data'!C6,"n.a.")</f>
        <v>0.21595454018955215</v>
      </c>
      <c r="D22" s="32">
        <f>IFERROR(D21/'Raw Data'!D6,"n.a.")</f>
        <v>0.32952430532960242</v>
      </c>
      <c r="E22" s="32">
        <f>IFERROR(E21/'Raw Data'!E6,"n.a.")</f>
        <v>0.33283637032946806</v>
      </c>
      <c r="F22" s="14" t="s">
        <v>82</v>
      </c>
      <c r="G22" s="14" t="s">
        <v>195</v>
      </c>
      <c r="H22" s="20" t="s">
        <v>234</v>
      </c>
      <c r="I22" s="20"/>
    </row>
    <row r="23" spans="1:9" x14ac:dyDescent="0.3">
      <c r="A23" s="14" t="s">
        <v>235</v>
      </c>
      <c r="B23" s="29" t="s">
        <v>236</v>
      </c>
      <c r="C23" s="32">
        <f>IFERROR(C21/'Raw Data'!C23,"n.a.")</f>
        <v>0.25191549564443316</v>
      </c>
      <c r="D23" s="32">
        <f>IFERROR(D21/'Raw Data'!D23,"n.a.")</f>
        <v>0.36743727052403963</v>
      </c>
      <c r="E23" s="32">
        <f>IFERROR(E21/'Raw Data'!E23,"n.a.")</f>
        <v>0.36432442596858355</v>
      </c>
      <c r="F23" s="14" t="s">
        <v>82</v>
      </c>
      <c r="G23" s="14" t="s">
        <v>195</v>
      </c>
      <c r="H23" s="20" t="s">
        <v>237</v>
      </c>
      <c r="I23" s="20"/>
    </row>
    <row r="24" spans="1:9" x14ac:dyDescent="0.3">
      <c r="A24" s="14" t="s">
        <v>238</v>
      </c>
      <c r="B24" s="29" t="s">
        <v>239</v>
      </c>
      <c r="C24" s="32">
        <f>IFERROR('Raw Data'!C15/'Raw Data'!C23,"n.a.")</f>
        <v>0.60242735423157623</v>
      </c>
      <c r="D24" s="32">
        <f>IFERROR('Raw Data'!D15/'Raw Data'!D23,"n.a.")</f>
        <v>0.64188689102703644</v>
      </c>
      <c r="E24" s="32">
        <f>IFERROR('Raw Data'!E15/'Raw Data'!E23,"n.a.")</f>
        <v>0.64607831944285876</v>
      </c>
      <c r="F24" s="14" t="s">
        <v>82</v>
      </c>
      <c r="G24" s="14" t="s">
        <v>195</v>
      </c>
      <c r="H24" s="20" t="s">
        <v>240</v>
      </c>
      <c r="I24" s="20" t="s">
        <v>241</v>
      </c>
    </row>
    <row r="25" spans="1:9" x14ac:dyDescent="0.3">
      <c r="A25" s="14" t="s">
        <v>242</v>
      </c>
      <c r="B25" s="29" t="s">
        <v>243</v>
      </c>
      <c r="C25" s="35">
        <f>IFERROR('Raw Data'!C16/'Raw Data'!C15,"n.a.")</f>
        <v>0</v>
      </c>
      <c r="D25" s="35">
        <f>IFERROR('Raw Data'!D16/'Raw Data'!D15,"n.a.")</f>
        <v>0</v>
      </c>
      <c r="E25" s="35">
        <f>IFERROR('Raw Data'!E16/'Raw Data'!E15,"n.a.")</f>
        <v>0</v>
      </c>
      <c r="F25" s="14" t="s">
        <v>117</v>
      </c>
      <c r="G25" s="14" t="s">
        <v>195</v>
      </c>
      <c r="H25" s="20" t="s">
        <v>244</v>
      </c>
      <c r="I25" s="20" t="s">
        <v>245</v>
      </c>
    </row>
    <row r="26" spans="1:9" ht="25.5" customHeight="1" x14ac:dyDescent="0.3">
      <c r="A26" s="14" t="s">
        <v>246</v>
      </c>
      <c r="B26" s="29" t="s">
        <v>41</v>
      </c>
      <c r="C26" s="30">
        <f>'Raw Data'!C8</f>
        <v>284</v>
      </c>
      <c r="D26" s="30">
        <f>'Raw Data'!D8</f>
        <v>470</v>
      </c>
      <c r="E26" s="30">
        <f>'Raw Data'!E8</f>
        <v>416</v>
      </c>
      <c r="F26" s="14" t="s">
        <v>33</v>
      </c>
      <c r="G26" s="14" t="s">
        <v>34</v>
      </c>
      <c r="H26" s="20" t="s">
        <v>247</v>
      </c>
      <c r="I26" s="20" t="s">
        <v>248</v>
      </c>
    </row>
    <row r="27" spans="1:9" x14ac:dyDescent="0.3">
      <c r="A27" s="14" t="s">
        <v>249</v>
      </c>
      <c r="B27" s="29" t="s">
        <v>250</v>
      </c>
      <c r="C27" s="36">
        <f>IFERROR('Raw Data'!C7/C26,"n.a.")</f>
        <v>108.82042253521126</v>
      </c>
      <c r="D27" s="36">
        <f>IFERROR('Raw Data'!D7/D26,"n.a.")</f>
        <v>67.5468085106383</v>
      </c>
      <c r="E27" s="36">
        <f>IFERROR('Raw Data'!E7/E26,"n.a.")</f>
        <v>82.75</v>
      </c>
      <c r="F27" s="14" t="s">
        <v>117</v>
      </c>
      <c r="G27" s="14" t="s">
        <v>195</v>
      </c>
      <c r="H27" s="20" t="s">
        <v>251</v>
      </c>
      <c r="I27" s="20" t="s">
        <v>252</v>
      </c>
    </row>
    <row r="28" spans="1:9" ht="25.5" customHeight="1" x14ac:dyDescent="0.3">
      <c r="A28" s="14" t="s">
        <v>253</v>
      </c>
      <c r="B28" s="29" t="s">
        <v>254</v>
      </c>
      <c r="C28" s="31">
        <f>'Raw Data'!C6-'Raw Data'!C7</f>
        <v>115862</v>
      </c>
      <c r="D28" s="31">
        <f>'Raw Data'!D6-'Raw Data'!D7</f>
        <v>121923</v>
      </c>
      <c r="E28" s="31">
        <f>'Raw Data'!E6-'Raw Data'!E7</f>
        <v>128566</v>
      </c>
      <c r="F28" s="14" t="s">
        <v>33</v>
      </c>
      <c r="G28" s="14" t="s">
        <v>195</v>
      </c>
      <c r="H28" s="20" t="s">
        <v>255</v>
      </c>
      <c r="I28" s="20" t="s">
        <v>256</v>
      </c>
    </row>
    <row r="29" spans="1:9" x14ac:dyDescent="0.3">
      <c r="A29" s="14" t="s">
        <v>257</v>
      </c>
      <c r="B29" s="29" t="s">
        <v>258</v>
      </c>
      <c r="C29" s="31">
        <f>C28/$C$7</f>
        <v>317.43013698630136</v>
      </c>
      <c r="D29" s="31">
        <f>D28/$C$7</f>
        <v>334.03561643835616</v>
      </c>
      <c r="E29" s="31">
        <f>E28/$C$7</f>
        <v>352.23561643835615</v>
      </c>
      <c r="F29" s="14" t="s">
        <v>33</v>
      </c>
      <c r="G29" s="14" t="s">
        <v>195</v>
      </c>
      <c r="H29" s="20" t="s">
        <v>259</v>
      </c>
      <c r="I29" s="20"/>
    </row>
    <row r="30" spans="1:9" x14ac:dyDescent="0.3">
      <c r="A30" s="14" t="s">
        <v>260</v>
      </c>
      <c r="B30" s="29" t="s">
        <v>261</v>
      </c>
      <c r="C30" s="37">
        <f>IFERROR(C11/C29,"n.a.")</f>
        <v>99.710129291743627</v>
      </c>
      <c r="D30" s="37">
        <f>IFERROR(D11/D29,"n.a.")</f>
        <v>117.97843721037049</v>
      </c>
      <c r="E30" s="37">
        <f>IFERROR(E11/E29,"n.a.")</f>
        <v>136.26106435605058</v>
      </c>
      <c r="F30" s="14" t="s">
        <v>95</v>
      </c>
      <c r="G30" s="14" t="s">
        <v>195</v>
      </c>
      <c r="H30" s="20" t="s">
        <v>262</v>
      </c>
      <c r="I30" s="20" t="s">
        <v>263</v>
      </c>
    </row>
    <row r="31" spans="1:9" x14ac:dyDescent="0.3">
      <c r="A31" s="14" t="s">
        <v>264</v>
      </c>
      <c r="B31" s="29" t="s">
        <v>265</v>
      </c>
      <c r="C31" s="37">
        <f>IFERROR(C9/C29,"n.a.")</f>
        <v>38.348595743211753</v>
      </c>
      <c r="D31" s="37">
        <f>IFERROR(D9/D29,"n.a.")</f>
        <v>44.264740861035243</v>
      </c>
      <c r="E31" s="37">
        <f>IFERROR(E9/E29,"n.a.")</f>
        <v>69.427959180498732</v>
      </c>
      <c r="F31" s="14" t="s">
        <v>95</v>
      </c>
      <c r="G31" s="14" t="s">
        <v>195</v>
      </c>
      <c r="H31" s="20" t="s">
        <v>266</v>
      </c>
      <c r="I31" s="20" t="s">
        <v>267</v>
      </c>
    </row>
    <row r="32" spans="1:9" x14ac:dyDescent="0.3">
      <c r="A32" s="14" t="s">
        <v>268</v>
      </c>
      <c r="B32" s="29" t="s">
        <v>269</v>
      </c>
      <c r="C32" s="38">
        <f>'Raw Data'!C29</f>
        <v>62</v>
      </c>
      <c r="D32" s="38">
        <f>'Raw Data'!D29</f>
        <v>71</v>
      </c>
      <c r="E32" s="38">
        <f>'Raw Data'!E29</f>
        <v>69</v>
      </c>
      <c r="F32" s="14" t="s">
        <v>95</v>
      </c>
      <c r="G32" s="14" t="s">
        <v>83</v>
      </c>
      <c r="H32" s="20" t="s">
        <v>270</v>
      </c>
      <c r="I32" s="20" t="s">
        <v>271</v>
      </c>
    </row>
    <row r="33" spans="1:9" x14ac:dyDescent="0.3">
      <c r="A33" s="90" t="s">
        <v>272</v>
      </c>
      <c r="B33" s="16"/>
      <c r="C33" s="16"/>
      <c r="D33" s="16"/>
      <c r="E33" s="16"/>
      <c r="F33" s="16"/>
      <c r="G33" s="16"/>
      <c r="H33" s="16"/>
      <c r="I33" s="16"/>
    </row>
    <row r="34" spans="1:9" x14ac:dyDescent="0.3">
      <c r="A34" s="14" t="s">
        <v>273</v>
      </c>
      <c r="B34" s="29" t="s">
        <v>64</v>
      </c>
      <c r="C34" s="30">
        <f>'Raw Data'!C19</f>
        <v>2579</v>
      </c>
      <c r="D34" s="30">
        <f>'Raw Data'!D19</f>
        <v>2201</v>
      </c>
      <c r="E34" s="30">
        <f>'Raw Data'!E19</f>
        <v>2237</v>
      </c>
      <c r="F34" s="14" t="s">
        <v>33</v>
      </c>
      <c r="G34" s="14" t="s">
        <v>34</v>
      </c>
      <c r="H34" s="20" t="s">
        <v>274</v>
      </c>
      <c r="I34" s="20" t="s">
        <v>275</v>
      </c>
    </row>
    <row r="35" spans="1:9" x14ac:dyDescent="0.3">
      <c r="A35" s="14" t="s">
        <v>276</v>
      </c>
      <c r="B35" s="29" t="s">
        <v>277</v>
      </c>
      <c r="C35" s="32">
        <f>IFERROR(C34/'Raw Data'!C6,"n.a.")</f>
        <v>1.7572070015739231E-2</v>
      </c>
      <c r="D35" s="32">
        <f>IFERROR(D34/'Raw Data'!D6,"n.a.")</f>
        <v>1.4322899720179605E-2</v>
      </c>
      <c r="E35" s="32">
        <f>IFERROR(E34/'Raw Data'!E6,"n.a.")</f>
        <v>1.3724768390698815E-2</v>
      </c>
      <c r="F35" s="14" t="s">
        <v>82</v>
      </c>
      <c r="G35" s="14" t="s">
        <v>195</v>
      </c>
      <c r="H35" s="20" t="s">
        <v>278</v>
      </c>
      <c r="I35" s="20" t="s">
        <v>279</v>
      </c>
    </row>
    <row r="36" spans="1:9" x14ac:dyDescent="0.3">
      <c r="A36" s="14" t="s">
        <v>280</v>
      </c>
      <c r="B36" s="29" t="s">
        <v>281</v>
      </c>
      <c r="C36" s="32">
        <f>IFERROR(C34/'Raw Data'!C7,"n.a.")</f>
        <v>8.344928005177156E-2</v>
      </c>
      <c r="D36" s="32">
        <f>IFERROR(D34/'Raw Data'!D7,"n.a.")</f>
        <v>6.9329385453743661E-2</v>
      </c>
      <c r="E36" s="32">
        <f>IFERROR(E34/'Raw Data'!E7,"n.a.")</f>
        <v>6.4983732279804793E-2</v>
      </c>
      <c r="F36" s="14" t="s">
        <v>82</v>
      </c>
      <c r="G36" s="14" t="s">
        <v>195</v>
      </c>
      <c r="H36" s="20" t="s">
        <v>282</v>
      </c>
      <c r="I36" s="20"/>
    </row>
    <row r="37" spans="1:9" x14ac:dyDescent="0.3">
      <c r="A37" s="14" t="s">
        <v>283</v>
      </c>
      <c r="B37" s="29" t="s">
        <v>284</v>
      </c>
      <c r="C37" s="32">
        <f>IFERROR(C34/'Raw Data'!C11,"n.a.")</f>
        <v>0.10697693711630994</v>
      </c>
      <c r="D37" s="32">
        <f>IFERROR(D34/'Raw Data'!D11,"n.a.")</f>
        <v>8.385400792441329E-2</v>
      </c>
      <c r="E37" s="32">
        <f>IFERROR(E34/'Raw Data'!E11,"n.a.")</f>
        <v>8.3626168224299066E-2</v>
      </c>
      <c r="F37" s="14" t="s">
        <v>82</v>
      </c>
      <c r="G37" s="14" t="s">
        <v>195</v>
      </c>
      <c r="H37" s="20" t="s">
        <v>285</v>
      </c>
      <c r="I37" s="20"/>
    </row>
    <row r="38" spans="1:9" x14ac:dyDescent="0.3">
      <c r="A38" s="14" t="s">
        <v>286</v>
      </c>
      <c r="B38" s="29" t="s">
        <v>287</v>
      </c>
      <c r="C38" s="31">
        <f>'Raw Data'!C17+'Raw Data'!C18</f>
        <v>20675</v>
      </c>
      <c r="D38" s="31">
        <f>'Raw Data'!D17+'Raw Data'!D18</f>
        <v>19370</v>
      </c>
      <c r="E38" s="31">
        <f>'Raw Data'!E17+'Raw Data'!E18</f>
        <v>19111</v>
      </c>
      <c r="F38" s="14" t="s">
        <v>33</v>
      </c>
      <c r="G38" s="14" t="s">
        <v>195</v>
      </c>
      <c r="H38" s="20" t="s">
        <v>288</v>
      </c>
      <c r="I38" s="20"/>
    </row>
    <row r="39" spans="1:9" x14ac:dyDescent="0.3">
      <c r="A39" s="14" t="s">
        <v>289</v>
      </c>
      <c r="B39" s="29" t="s">
        <v>290</v>
      </c>
      <c r="C39" s="32">
        <f>IFERROR(C38/'Raw Data'!C23,"n.a.")</f>
        <v>0.16432727157118332</v>
      </c>
      <c r="D39" s="32">
        <f>IFERROR(D38/'Raw Data'!D23,"n.a.")</f>
        <v>0.14055175816680454</v>
      </c>
      <c r="E39" s="32">
        <f>IFERROR(E38/'Raw Data'!E23,"n.a.")</f>
        <v>0.1283452986172206</v>
      </c>
      <c r="F39" s="14" t="s">
        <v>82</v>
      </c>
      <c r="G39" s="14" t="s">
        <v>195</v>
      </c>
      <c r="H39" s="20" t="s">
        <v>291</v>
      </c>
      <c r="I39" s="20" t="s">
        <v>292</v>
      </c>
    </row>
    <row r="40" spans="1:9" x14ac:dyDescent="0.3">
      <c r="A40" s="90" t="s">
        <v>293</v>
      </c>
      <c r="B40" s="16"/>
      <c r="C40" s="16"/>
      <c r="D40" s="16"/>
      <c r="E40" s="16"/>
      <c r="F40" s="16"/>
      <c r="G40" s="16"/>
      <c r="H40" s="16"/>
      <c r="I40" s="16"/>
    </row>
    <row r="41" spans="1:9" x14ac:dyDescent="0.3">
      <c r="A41" s="14" t="s">
        <v>294</v>
      </c>
      <c r="B41" s="29" t="s">
        <v>295</v>
      </c>
      <c r="C41" s="32">
        <f>IFERROR('Raw Data'!C7/'Raw Data'!C6,"n.a.")</f>
        <v>0.21057185879659596</v>
      </c>
      <c r="D41" s="32">
        <f>IFERROR('Raw Data'!D7/'Raw Data'!D6,"n.a.")</f>
        <v>0.20659204789483959</v>
      </c>
      <c r="E41" s="32">
        <f>IFERROR('Raw Data'!E7/'Raw Data'!E6,"n.a.")</f>
        <v>0.21120314129701209</v>
      </c>
      <c r="F41" s="14" t="s">
        <v>82</v>
      </c>
      <c r="G41" s="14" t="s">
        <v>195</v>
      </c>
      <c r="H41" s="20" t="s">
        <v>296</v>
      </c>
      <c r="I41" s="20"/>
    </row>
    <row r="42" spans="1:9" x14ac:dyDescent="0.3">
      <c r="A42" s="14" t="s">
        <v>297</v>
      </c>
      <c r="B42" s="29" t="s">
        <v>298</v>
      </c>
      <c r="C42" s="33">
        <f>'Raw Data'!C30</f>
        <v>0.21099999999999999</v>
      </c>
      <c r="D42" s="33">
        <f>'Raw Data'!D30</f>
        <v>0.20699999999999999</v>
      </c>
      <c r="E42" s="33">
        <f>'Raw Data'!E30</f>
        <v>0.21099999999999999</v>
      </c>
      <c r="F42" s="14" t="s">
        <v>82</v>
      </c>
      <c r="G42" s="14" t="s">
        <v>83</v>
      </c>
      <c r="H42" s="20" t="s">
        <v>299</v>
      </c>
      <c r="I42" s="20"/>
    </row>
    <row r="43" spans="1:9" x14ac:dyDescent="0.3">
      <c r="A43" s="14" t="s">
        <v>300</v>
      </c>
      <c r="B43" s="29" t="s">
        <v>301</v>
      </c>
      <c r="C43" s="32">
        <f>IFERROR('Raw Data'!C11/'Raw Data'!C6,"n.a.")</f>
        <v>0.16426035825492105</v>
      </c>
      <c r="D43" s="32">
        <f>IFERROR('Raw Data'!D11/'Raw Data'!D6,"n.a.")</f>
        <v>0.17080757467300059</v>
      </c>
      <c r="E43" s="32">
        <f>IFERROR('Raw Data'!E11/'Raw Data'!E6,"n.a.")</f>
        <v>0.16412049819007302</v>
      </c>
      <c r="F43" s="14" t="s">
        <v>82</v>
      </c>
      <c r="G43" s="14" t="s">
        <v>195</v>
      </c>
      <c r="H43" s="20" t="s">
        <v>302</v>
      </c>
      <c r="I43" s="20"/>
    </row>
    <row r="44" spans="1:9" x14ac:dyDescent="0.3">
      <c r="A44" s="14" t="s">
        <v>303</v>
      </c>
      <c r="B44" s="29" t="s">
        <v>304</v>
      </c>
      <c r="C44" s="33">
        <f>'Raw Data'!C35</f>
        <v>0.16400000000000001</v>
      </c>
      <c r="D44" s="33">
        <f>'Raw Data'!D35</f>
        <v>0.17100000000000001</v>
      </c>
      <c r="E44" s="33">
        <f>'Raw Data'!E35</f>
        <v>0.16400000000000001</v>
      </c>
      <c r="F44" s="14" t="s">
        <v>82</v>
      </c>
      <c r="G44" s="14" t="s">
        <v>83</v>
      </c>
      <c r="H44" s="20" t="s">
        <v>305</v>
      </c>
      <c r="I44" s="20"/>
    </row>
    <row r="45" spans="1:9" x14ac:dyDescent="0.3">
      <c r="A45" s="14" t="s">
        <v>306</v>
      </c>
      <c r="B45" s="29" t="s">
        <v>307</v>
      </c>
      <c r="C45" s="32">
        <f>IFERROR('Raw Data'!C10/'Raw Data'!C9,"n.a.")</f>
        <v>0.27651401476502013</v>
      </c>
      <c r="D45" s="32">
        <f>IFERROR('Raw Data'!D10/'Raw Data'!D9,"n.a.")</f>
        <v>0.27064577081249308</v>
      </c>
      <c r="E45" s="32">
        <f>IFERROR('Raw Data'!E10/'Raw Data'!E9,"n.a.")</f>
        <v>0.28871516698574773</v>
      </c>
      <c r="F45" s="14" t="s">
        <v>82</v>
      </c>
      <c r="G45" s="14" t="s">
        <v>195</v>
      </c>
      <c r="H45" s="20" t="s">
        <v>308</v>
      </c>
      <c r="I45" s="20"/>
    </row>
    <row r="46" spans="1:9" x14ac:dyDescent="0.3">
      <c r="A46" s="14" t="s">
        <v>309</v>
      </c>
      <c r="B46" s="29" t="s">
        <v>310</v>
      </c>
      <c r="C46" s="33">
        <f>'Raw Data'!C34</f>
        <v>0.27700000000000002</v>
      </c>
      <c r="D46" s="33">
        <f>'Raw Data'!D34</f>
        <v>0.27100000000000002</v>
      </c>
      <c r="E46" s="33">
        <f>'Raw Data'!E34</f>
        <v>0.28899999999999998</v>
      </c>
      <c r="F46" s="14" t="s">
        <v>82</v>
      </c>
      <c r="G46" s="14" t="s">
        <v>83</v>
      </c>
      <c r="H46" s="20" t="s">
        <v>311</v>
      </c>
      <c r="I46" s="20"/>
    </row>
    <row r="47" spans="1:9" x14ac:dyDescent="0.3">
      <c r="A47" s="14" t="s">
        <v>312</v>
      </c>
      <c r="B47" s="29" t="s">
        <v>313</v>
      </c>
      <c r="C47" s="33">
        <f>'Raw Data'!C37</f>
        <v>0.69499999999999995</v>
      </c>
      <c r="D47" s="33">
        <f>'Raw Data'!D37</f>
        <v>0.8</v>
      </c>
      <c r="E47" s="33">
        <f>'Raw Data'!E37</f>
        <v>0.51700000000000002</v>
      </c>
      <c r="F47" s="14" t="s">
        <v>82</v>
      </c>
      <c r="G47" s="14" t="s">
        <v>83</v>
      </c>
      <c r="H47" s="20" t="s">
        <v>314</v>
      </c>
      <c r="I47" s="20" t="s">
        <v>315</v>
      </c>
    </row>
    <row r="48" spans="1:9" x14ac:dyDescent="0.3">
      <c r="A48" s="14" t="s">
        <v>316</v>
      </c>
      <c r="B48" s="29" t="s">
        <v>317</v>
      </c>
      <c r="C48" s="33">
        <f>'Raw Data'!C36</f>
        <v>0.312</v>
      </c>
      <c r="D48" s="33">
        <f>'Raw Data'!D36</f>
        <v>0.32100000000000001</v>
      </c>
      <c r="E48" s="33">
        <f>'Raw Data'!E36</f>
        <v>0.28999999999999998</v>
      </c>
      <c r="F48" s="14" t="s">
        <v>82</v>
      </c>
      <c r="G48" s="14" t="s">
        <v>83</v>
      </c>
      <c r="H48" s="20" t="s">
        <v>318</v>
      </c>
      <c r="I48" s="20"/>
    </row>
    <row r="49" spans="1:9" x14ac:dyDescent="0.3">
      <c r="A49" s="90" t="s">
        <v>319</v>
      </c>
      <c r="B49" s="16"/>
      <c r="C49" s="16"/>
      <c r="D49" s="16"/>
      <c r="E49" s="16"/>
      <c r="F49" s="16"/>
      <c r="G49" s="16"/>
      <c r="H49" s="16"/>
      <c r="I49" s="16"/>
    </row>
    <row r="50" spans="1:9" x14ac:dyDescent="0.3">
      <c r="A50" s="14" t="s">
        <v>320</v>
      </c>
      <c r="B50" s="29" t="s">
        <v>321</v>
      </c>
      <c r="C50" s="33">
        <f>'Raw Data'!C26</f>
        <v>0.157</v>
      </c>
      <c r="D50" s="33">
        <f>'Raw Data'!D26</f>
        <v>0.17</v>
      </c>
      <c r="E50" s="33">
        <f>'Raw Data'!E26</f>
        <v>0.22600000000000001</v>
      </c>
      <c r="F50" s="14" t="s">
        <v>82</v>
      </c>
      <c r="G50" s="14" t="s">
        <v>83</v>
      </c>
      <c r="H50" s="20" t="s">
        <v>322</v>
      </c>
      <c r="I50" s="20" t="s">
        <v>323</v>
      </c>
    </row>
    <row r="51" spans="1:9" ht="25.5" customHeight="1" x14ac:dyDescent="0.3">
      <c r="A51" s="14" t="s">
        <v>324</v>
      </c>
      <c r="B51" s="29" t="s">
        <v>325</v>
      </c>
      <c r="C51" s="39">
        <f>C50*'Raw Data'!C6</f>
        <v>23042.419000000002</v>
      </c>
      <c r="D51" s="39">
        <f>D50*'Raw Data'!D6</f>
        <v>26123.9</v>
      </c>
      <c r="E51" s="39">
        <f>E50*'Raw Data'!E6</f>
        <v>36835.74</v>
      </c>
      <c r="F51" s="14" t="s">
        <v>33</v>
      </c>
      <c r="G51" s="40" t="s">
        <v>326</v>
      </c>
      <c r="H51" s="20" t="s">
        <v>327</v>
      </c>
      <c r="I51" s="20" t="s">
        <v>328</v>
      </c>
    </row>
    <row r="52" spans="1:9" x14ac:dyDescent="0.3">
      <c r="A52" s="14" t="s">
        <v>329</v>
      </c>
      <c r="B52" s="29" t="s">
        <v>330</v>
      </c>
      <c r="C52" s="39">
        <f>(C50-$C$6)*'Raw Data'!C6</f>
        <v>22969.035500000002</v>
      </c>
      <c r="D52" s="39">
        <f>(D50-$C$6)*'Raw Data'!D6</f>
        <v>26047.065000000002</v>
      </c>
      <c r="E52" s="39">
        <f>(E50-$C$6)*'Raw Data'!E6</f>
        <v>36754.245000000003</v>
      </c>
      <c r="F52" s="14" t="s">
        <v>33</v>
      </c>
      <c r="G52" s="40" t="s">
        <v>326</v>
      </c>
      <c r="H52" s="20" t="s">
        <v>331</v>
      </c>
      <c r="I52" s="20"/>
    </row>
    <row r="53" spans="1:9" x14ac:dyDescent="0.3">
      <c r="A53" s="14" t="s">
        <v>332</v>
      </c>
      <c r="B53" s="29" t="s">
        <v>333</v>
      </c>
      <c r="C53" s="39">
        <f>(C50+$C$6)*'Raw Data'!C6</f>
        <v>23115.802500000002</v>
      </c>
      <c r="D53" s="39">
        <f>(D50+$C$6)*'Raw Data'!D6</f>
        <v>26200.735000000001</v>
      </c>
      <c r="E53" s="39">
        <f>(E50+$C$6)*'Raw Data'!E6</f>
        <v>36917.235000000001</v>
      </c>
      <c r="F53" s="14" t="s">
        <v>33</v>
      </c>
      <c r="G53" s="40" t="s">
        <v>326</v>
      </c>
      <c r="H53" s="20" t="s">
        <v>334</v>
      </c>
      <c r="I53" s="20"/>
    </row>
    <row r="54" spans="1:9" x14ac:dyDescent="0.3">
      <c r="A54" s="14" t="s">
        <v>335</v>
      </c>
      <c r="B54" s="29" t="s">
        <v>336</v>
      </c>
      <c r="C54" s="31">
        <f>C34</f>
        <v>2579</v>
      </c>
      <c r="D54" s="31">
        <f>D34</f>
        <v>2201</v>
      </c>
      <c r="E54" s="31">
        <f>E34</f>
        <v>2237</v>
      </c>
      <c r="F54" s="14" t="s">
        <v>33</v>
      </c>
      <c r="G54" s="14" t="s">
        <v>34</v>
      </c>
      <c r="H54" s="20" t="s">
        <v>273</v>
      </c>
      <c r="I54" s="20"/>
    </row>
    <row r="55" spans="1:9" ht="25.5" customHeight="1" x14ac:dyDescent="0.3">
      <c r="A55" s="14" t="s">
        <v>337</v>
      </c>
      <c r="B55" s="29" t="s">
        <v>338</v>
      </c>
      <c r="C55" s="39">
        <f>C51-C54</f>
        <v>20463.419000000002</v>
      </c>
      <c r="D55" s="39">
        <f>D51-D54</f>
        <v>23922.9</v>
      </c>
      <c r="E55" s="39">
        <f>E51-E54</f>
        <v>34598.74</v>
      </c>
      <c r="F55" s="14" t="s">
        <v>33</v>
      </c>
      <c r="G55" s="40" t="s">
        <v>326</v>
      </c>
      <c r="H55" s="20" t="s">
        <v>339</v>
      </c>
      <c r="I55" s="20" t="s">
        <v>340</v>
      </c>
    </row>
    <row r="56" spans="1:9" x14ac:dyDescent="0.3">
      <c r="A56" s="14" t="s">
        <v>341</v>
      </c>
      <c r="B56" s="29" t="s">
        <v>342</v>
      </c>
      <c r="C56" s="39">
        <f>C52-C54</f>
        <v>20390.035500000002</v>
      </c>
      <c r="D56" s="39">
        <f>D52-D54</f>
        <v>23846.065000000002</v>
      </c>
      <c r="E56" s="39">
        <f>E52-E54</f>
        <v>34517.245000000003</v>
      </c>
      <c r="F56" s="14" t="s">
        <v>33</v>
      </c>
      <c r="G56" s="40" t="s">
        <v>326</v>
      </c>
      <c r="H56" s="20" t="s">
        <v>343</v>
      </c>
      <c r="I56" s="20"/>
    </row>
    <row r="57" spans="1:9" x14ac:dyDescent="0.3">
      <c r="A57" s="14" t="s">
        <v>344</v>
      </c>
      <c r="B57" s="29" t="s">
        <v>345</v>
      </c>
      <c r="C57" s="39">
        <f>C53-C54</f>
        <v>20536.802500000002</v>
      </c>
      <c r="D57" s="39">
        <f>D53-D54</f>
        <v>23999.735000000001</v>
      </c>
      <c r="E57" s="39">
        <f>E53-E54</f>
        <v>34680.235000000001</v>
      </c>
      <c r="F57" s="14" t="s">
        <v>33</v>
      </c>
      <c r="G57" s="40" t="s">
        <v>326</v>
      </c>
      <c r="H57" s="20" t="s">
        <v>346</v>
      </c>
      <c r="I57" s="20"/>
    </row>
    <row r="58" spans="1:9" x14ac:dyDescent="0.3">
      <c r="A58" s="14" t="s">
        <v>347</v>
      </c>
      <c r="B58" s="29" t="s">
        <v>348</v>
      </c>
      <c r="C58" s="41">
        <f>IFERROR(C55/'Raw Data'!C6,"n.a.")</f>
        <v>0.13942792998426079</v>
      </c>
      <c r="D58" s="41">
        <f>IFERROR(D55/'Raw Data'!D6,"n.a.")</f>
        <v>0.1556771002798204</v>
      </c>
      <c r="E58" s="41">
        <f>IFERROR(E55/'Raw Data'!E6,"n.a.")</f>
        <v>0.21227523160930117</v>
      </c>
      <c r="F58" s="14" t="s">
        <v>82</v>
      </c>
      <c r="G58" s="40" t="s">
        <v>326</v>
      </c>
      <c r="H58" s="20" t="s">
        <v>349</v>
      </c>
      <c r="I58" s="20"/>
    </row>
    <row r="59" spans="1:9" x14ac:dyDescent="0.3">
      <c r="A59" s="14" t="s">
        <v>350</v>
      </c>
      <c r="B59" s="29" t="s">
        <v>351</v>
      </c>
      <c r="C59" s="42">
        <f>IFERROR(C51/'Raw Data'!C11,"n.a.")</f>
        <v>0.95579969304795098</v>
      </c>
      <c r="D59" s="42">
        <f>IFERROR(D51/'Raw Data'!D11,"n.a.")</f>
        <v>0.99527202072538867</v>
      </c>
      <c r="E59" s="42">
        <f>IFERROR(E51/'Raw Data'!E11,"n.a.")</f>
        <v>1.3770370093457944</v>
      </c>
      <c r="F59" s="14" t="s">
        <v>117</v>
      </c>
      <c r="G59" s="40" t="s">
        <v>326</v>
      </c>
      <c r="H59" s="20" t="s">
        <v>352</v>
      </c>
      <c r="I59" s="20" t="s">
        <v>353</v>
      </c>
    </row>
    <row r="60" spans="1:9" x14ac:dyDescent="0.3">
      <c r="A60" s="14" t="s">
        <v>354</v>
      </c>
      <c r="B60" s="29" t="s">
        <v>355</v>
      </c>
      <c r="C60" s="42">
        <f>IFERROR(C52/'Raw Data'!C11,"n.a.")</f>
        <v>0.95275574498091931</v>
      </c>
      <c r="D60" s="42">
        <f>IFERROR(D52/'Raw Data'!D11,"n.a.")</f>
        <v>0.99234475007619638</v>
      </c>
      <c r="E60" s="42">
        <f>IFERROR(E52/'Raw Data'!E11,"n.a.")</f>
        <v>1.3739904672897196</v>
      </c>
      <c r="F60" s="14" t="s">
        <v>117</v>
      </c>
      <c r="G60" s="40" t="s">
        <v>326</v>
      </c>
      <c r="H60" s="20" t="s">
        <v>356</v>
      </c>
      <c r="I60" s="20"/>
    </row>
    <row r="61" spans="1:9" x14ac:dyDescent="0.3">
      <c r="A61" s="14" t="s">
        <v>357</v>
      </c>
      <c r="B61" s="29" t="s">
        <v>358</v>
      </c>
      <c r="C61" s="42">
        <f>IFERROR(C53/'Raw Data'!C11,"n.a.")</f>
        <v>0.95884364111498266</v>
      </c>
      <c r="D61" s="42">
        <f>IFERROR(D53/'Raw Data'!D11,"n.a.")</f>
        <v>0.99819929137458097</v>
      </c>
      <c r="E61" s="42">
        <f>IFERROR(E53/'Raw Data'!E11,"n.a.")</f>
        <v>1.3800835514018692</v>
      </c>
      <c r="F61" s="14" t="s">
        <v>117</v>
      </c>
      <c r="G61" s="40" t="s">
        <v>326</v>
      </c>
      <c r="H61" s="20" t="s">
        <v>359</v>
      </c>
      <c r="I61" s="20"/>
    </row>
    <row r="62" spans="1:9" x14ac:dyDescent="0.3">
      <c r="A62" s="14" t="s">
        <v>360</v>
      </c>
      <c r="B62" s="29" t="s">
        <v>361</v>
      </c>
      <c r="C62" s="42">
        <f>IFERROR(C55/'Raw Data'!C11,"n.a.")</f>
        <v>0.84882275593164103</v>
      </c>
      <c r="D62" s="42">
        <f>IFERROR(D55/'Raw Data'!D11,"n.a.")</f>
        <v>0.91141801280097534</v>
      </c>
      <c r="E62" s="42">
        <f>IFERROR(E55/'Raw Data'!E11,"n.a.")</f>
        <v>1.2934108411214953</v>
      </c>
      <c r="F62" s="14" t="s">
        <v>117</v>
      </c>
      <c r="G62" s="40" t="s">
        <v>326</v>
      </c>
      <c r="H62" s="20" t="s">
        <v>362</v>
      </c>
      <c r="I62" s="20"/>
    </row>
    <row r="63" spans="1:9" x14ac:dyDescent="0.3">
      <c r="A63" s="14" t="s">
        <v>363</v>
      </c>
      <c r="B63" s="29" t="s">
        <v>364</v>
      </c>
      <c r="C63" s="43" t="s">
        <v>365</v>
      </c>
      <c r="D63" s="31">
        <f>D11-C11</f>
        <v>7758</v>
      </c>
      <c r="E63" s="31">
        <f>E11-D11</f>
        <v>8587</v>
      </c>
      <c r="F63" s="14" t="s">
        <v>33</v>
      </c>
      <c r="G63" s="14" t="s">
        <v>195</v>
      </c>
      <c r="H63" s="20" t="s">
        <v>366</v>
      </c>
      <c r="I63" s="20" t="s">
        <v>367</v>
      </c>
    </row>
    <row r="64" spans="1:9" ht="25.5" customHeight="1" x14ac:dyDescent="0.3">
      <c r="A64" s="14" t="s">
        <v>368</v>
      </c>
      <c r="B64" s="29" t="s">
        <v>369</v>
      </c>
      <c r="C64" s="43" t="s">
        <v>365</v>
      </c>
      <c r="D64" s="39">
        <f>D55-D63</f>
        <v>16164.900000000001</v>
      </c>
      <c r="E64" s="39">
        <f>E55-E63</f>
        <v>26011.739999999998</v>
      </c>
      <c r="F64" s="14" t="s">
        <v>33</v>
      </c>
      <c r="G64" s="40" t="s">
        <v>326</v>
      </c>
      <c r="H64" s="20" t="s">
        <v>370</v>
      </c>
      <c r="I64" s="20" t="s">
        <v>371</v>
      </c>
    </row>
    <row r="65" spans="1:9" x14ac:dyDescent="0.3">
      <c r="A65" s="14" t="s">
        <v>372</v>
      </c>
      <c r="B65" s="29" t="s">
        <v>373</v>
      </c>
      <c r="C65" s="43" t="s">
        <v>365</v>
      </c>
      <c r="D65" s="41">
        <f>IFERROR(D64/D55,"n.a.")</f>
        <v>0.67570821263308378</v>
      </c>
      <c r="E65" s="41">
        <f>IFERROR(E64/E55,"n.a.")</f>
        <v>0.75181177118010656</v>
      </c>
      <c r="F65" s="14" t="s">
        <v>82</v>
      </c>
      <c r="G65" s="40" t="s">
        <v>326</v>
      </c>
      <c r="H65" s="20" t="s">
        <v>374</v>
      </c>
      <c r="I65" s="20"/>
    </row>
    <row r="66" spans="1:9" x14ac:dyDescent="0.3">
      <c r="A66" s="14" t="s">
        <v>375</v>
      </c>
      <c r="B66" s="29" t="s">
        <v>376</v>
      </c>
      <c r="C66" s="39">
        <f>'Raw Data'!C27*'Raw Data'!C23</f>
        <v>31328.184000000001</v>
      </c>
      <c r="D66" s="39">
        <f>'Raw Data'!D27*'Raw Data'!D23</f>
        <v>39001.361999999994</v>
      </c>
      <c r="E66" s="39">
        <f>'Raw Data'!E27*'Raw Data'!E23</f>
        <v>47500.057000000001</v>
      </c>
      <c r="F66" s="14" t="s">
        <v>33</v>
      </c>
      <c r="G66" s="40" t="s">
        <v>326</v>
      </c>
      <c r="H66" s="20" t="s">
        <v>377</v>
      </c>
      <c r="I66" s="20" t="s">
        <v>378</v>
      </c>
    </row>
    <row r="67" spans="1:9" x14ac:dyDescent="0.3">
      <c r="A67" s="14" t="s">
        <v>379</v>
      </c>
      <c r="B67" s="29" t="s">
        <v>380</v>
      </c>
      <c r="C67" s="39">
        <f>'Raw Data'!C28*'Raw Data'!C6</f>
        <v>31261.370999999999</v>
      </c>
      <c r="D67" s="39">
        <f>'Raw Data'!D28*'Raw Data'!D6</f>
        <v>39032.18</v>
      </c>
      <c r="E67" s="39">
        <f>'Raw Data'!E28*'Raw Data'!E6</f>
        <v>47593.079999999994</v>
      </c>
      <c r="F67" s="14" t="s">
        <v>33</v>
      </c>
      <c r="G67" s="40" t="s">
        <v>326</v>
      </c>
      <c r="H67" s="20" t="s">
        <v>381</v>
      </c>
      <c r="I67" s="20"/>
    </row>
    <row r="68" spans="1:9" x14ac:dyDescent="0.3">
      <c r="A68" s="14" t="s">
        <v>382</v>
      </c>
      <c r="B68" s="29" t="s">
        <v>383</v>
      </c>
      <c r="C68" s="31">
        <f>C67-C66</f>
        <v>-66.813000000001921</v>
      </c>
      <c r="D68" s="31">
        <f>D67-D66</f>
        <v>30.818000000006577</v>
      </c>
      <c r="E68" s="31">
        <f>E67-E66</f>
        <v>93.022999999993772</v>
      </c>
      <c r="F68" s="14" t="s">
        <v>33</v>
      </c>
      <c r="G68" s="14" t="s">
        <v>217</v>
      </c>
      <c r="H68" s="20" t="s">
        <v>384</v>
      </c>
      <c r="I68" s="20" t="s">
        <v>385</v>
      </c>
    </row>
    <row r="69" spans="1:9" x14ac:dyDescent="0.3">
      <c r="A69" s="90" t="s">
        <v>386</v>
      </c>
      <c r="B69" s="16"/>
      <c r="C69" s="16"/>
      <c r="D69" s="16"/>
      <c r="E69" s="16"/>
      <c r="F69" s="16"/>
      <c r="G69" s="16"/>
      <c r="H69" s="16"/>
      <c r="I69" s="16"/>
    </row>
    <row r="70" spans="1:9" ht="15" customHeight="1" x14ac:dyDescent="0.3">
      <c r="B70" s="81" t="s">
        <v>21</v>
      </c>
      <c r="C70" s="82" t="s">
        <v>387</v>
      </c>
      <c r="D70" s="82"/>
      <c r="E70" s="82"/>
      <c r="G70" s="81" t="s">
        <v>388</v>
      </c>
      <c r="H70" s="81" t="s">
        <v>389</v>
      </c>
      <c r="I70" s="81" t="s">
        <v>390</v>
      </c>
    </row>
    <row r="71" spans="1:9" ht="37.5" customHeight="1" x14ac:dyDescent="0.3">
      <c r="A71" s="14" t="s">
        <v>391</v>
      </c>
      <c r="B71" s="29" t="s">
        <v>392</v>
      </c>
      <c r="C71" s="10" t="s">
        <v>393</v>
      </c>
      <c r="D71" s="10"/>
      <c r="E71" s="10"/>
      <c r="G71" s="20" t="s">
        <v>394</v>
      </c>
      <c r="H71" s="20" t="s">
        <v>395</v>
      </c>
      <c r="I71" s="20" t="s">
        <v>396</v>
      </c>
    </row>
    <row r="72" spans="1:9" ht="37.5" customHeight="1" x14ac:dyDescent="0.3">
      <c r="A72" s="14" t="s">
        <v>397</v>
      </c>
      <c r="B72" s="29" t="s">
        <v>398</v>
      </c>
      <c r="C72" s="10" t="s">
        <v>393</v>
      </c>
      <c r="D72" s="10"/>
      <c r="E72" s="10"/>
      <c r="G72" s="20" t="s">
        <v>399</v>
      </c>
      <c r="H72" s="20" t="s">
        <v>400</v>
      </c>
      <c r="I72" s="20" t="s">
        <v>401</v>
      </c>
    </row>
    <row r="73" spans="1:9" ht="37.5" customHeight="1" x14ac:dyDescent="0.3">
      <c r="A73" s="14" t="s">
        <v>402</v>
      </c>
      <c r="B73" s="29" t="s">
        <v>403</v>
      </c>
      <c r="C73" s="10" t="s">
        <v>393</v>
      </c>
      <c r="D73" s="10"/>
      <c r="E73" s="10"/>
      <c r="G73" s="20" t="s">
        <v>404</v>
      </c>
      <c r="H73" s="20" t="s">
        <v>405</v>
      </c>
      <c r="I73" s="20" t="s">
        <v>406</v>
      </c>
    </row>
    <row r="74" spans="1:9" ht="37.5" customHeight="1" x14ac:dyDescent="0.3">
      <c r="A74" s="14" t="s">
        <v>407</v>
      </c>
      <c r="B74" s="29" t="s">
        <v>408</v>
      </c>
      <c r="C74" s="10" t="s">
        <v>393</v>
      </c>
      <c r="D74" s="10"/>
      <c r="E74" s="10"/>
      <c r="G74" s="20" t="s">
        <v>404</v>
      </c>
      <c r="H74" s="20" t="s">
        <v>400</v>
      </c>
      <c r="I74" s="20" t="s">
        <v>409</v>
      </c>
    </row>
    <row r="75" spans="1:9" ht="37.5" customHeight="1" x14ac:dyDescent="0.3">
      <c r="A75" s="14" t="s">
        <v>410</v>
      </c>
      <c r="B75" s="29" t="s">
        <v>411</v>
      </c>
      <c r="C75" s="10" t="s">
        <v>393</v>
      </c>
      <c r="D75" s="10"/>
      <c r="E75" s="10"/>
      <c r="G75" s="20" t="s">
        <v>412</v>
      </c>
      <c r="H75" s="20" t="s">
        <v>400</v>
      </c>
      <c r="I75" s="20" t="s">
        <v>413</v>
      </c>
    </row>
    <row r="76" spans="1:9" ht="37.5" customHeight="1" x14ac:dyDescent="0.3">
      <c r="A76" s="14" t="s">
        <v>414</v>
      </c>
      <c r="B76" s="29" t="s">
        <v>415</v>
      </c>
      <c r="C76" s="10" t="s">
        <v>393</v>
      </c>
      <c r="D76" s="10"/>
      <c r="E76" s="10"/>
      <c r="G76" s="20" t="s">
        <v>416</v>
      </c>
      <c r="H76" s="20" t="s">
        <v>417</v>
      </c>
      <c r="I76" s="20" t="s">
        <v>418</v>
      </c>
    </row>
    <row r="77" spans="1:9" ht="37.5" customHeight="1" x14ac:dyDescent="0.3">
      <c r="A77" s="14" t="s">
        <v>419</v>
      </c>
      <c r="B77" s="29" t="s">
        <v>420</v>
      </c>
      <c r="C77" s="10" t="s">
        <v>393</v>
      </c>
      <c r="D77" s="10"/>
      <c r="E77" s="10"/>
      <c r="G77" s="20" t="s">
        <v>394</v>
      </c>
      <c r="H77" s="20" t="s">
        <v>421</v>
      </c>
      <c r="I77" s="20" t="s">
        <v>422</v>
      </c>
    </row>
    <row r="78" spans="1:9" ht="37.5" customHeight="1" x14ac:dyDescent="0.3">
      <c r="A78" s="14" t="s">
        <v>423</v>
      </c>
      <c r="B78" s="29" t="s">
        <v>424</v>
      </c>
      <c r="C78" s="10" t="s">
        <v>393</v>
      </c>
      <c r="D78" s="10"/>
      <c r="E78" s="10"/>
      <c r="G78" s="20" t="s">
        <v>29</v>
      </c>
      <c r="H78" s="20" t="s">
        <v>425</v>
      </c>
      <c r="I78" s="20" t="s">
        <v>426</v>
      </c>
    </row>
    <row r="79" spans="1:9" ht="37.5" customHeight="1" x14ac:dyDescent="0.3">
      <c r="A79" s="14" t="s">
        <v>427</v>
      </c>
      <c r="B79" s="29" t="s">
        <v>428</v>
      </c>
      <c r="C79" s="10" t="s">
        <v>393</v>
      </c>
      <c r="D79" s="10"/>
      <c r="E79" s="10"/>
      <c r="G79" s="20" t="s">
        <v>429</v>
      </c>
      <c r="H79" s="20" t="s">
        <v>400</v>
      </c>
      <c r="I79" s="20" t="s">
        <v>430</v>
      </c>
    </row>
    <row r="80" spans="1:9" ht="37.5" customHeight="1" x14ac:dyDescent="0.3">
      <c r="A80" s="14" t="s">
        <v>431</v>
      </c>
      <c r="B80" s="29" t="s">
        <v>432</v>
      </c>
      <c r="C80" s="10" t="s">
        <v>393</v>
      </c>
      <c r="D80" s="10"/>
      <c r="E80" s="10"/>
      <c r="G80" s="20" t="s">
        <v>433</v>
      </c>
      <c r="H80" s="20" t="s">
        <v>434</v>
      </c>
      <c r="I80" s="20" t="s">
        <v>435</v>
      </c>
    </row>
  </sheetData>
  <mergeCells count="11">
    <mergeCell ref="C80:E80"/>
    <mergeCell ref="C75:E75"/>
    <mergeCell ref="C76:E76"/>
    <mergeCell ref="C77:E77"/>
    <mergeCell ref="C78:E78"/>
    <mergeCell ref="C79:E79"/>
    <mergeCell ref="C70:E70"/>
    <mergeCell ref="C71:E71"/>
    <mergeCell ref="C72:E72"/>
    <mergeCell ref="C73:E73"/>
    <mergeCell ref="C74:E7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8"/>
  <sheetViews>
    <sheetView showGridLines="0" zoomScaleNormal="100" workbookViewId="0">
      <pane xSplit="2" ySplit="5" topLeftCell="C58" activePane="bottomRight" state="frozen"/>
      <selection pane="topRight" activeCell="C1" sqref="C1"/>
      <selection pane="bottomLeft" activeCell="A6" sqref="A6"/>
      <selection pane="bottomRight" activeCell="A3" sqref="A3"/>
    </sheetView>
  </sheetViews>
  <sheetFormatPr defaultColWidth="8.6640625" defaultRowHeight="14.4" x14ac:dyDescent="0.3"/>
  <cols>
    <col min="1" max="1" width="7" customWidth="1"/>
    <col min="2" max="2" width="52" customWidth="1"/>
    <col min="3" max="5" width="13" customWidth="1"/>
    <col min="6" max="7" width="12" customWidth="1"/>
    <col min="8" max="8" width="14" customWidth="1"/>
    <col min="9" max="9" width="22" customWidth="1"/>
    <col min="10" max="10" width="12" customWidth="1"/>
    <col min="11" max="11" width="15" customWidth="1"/>
    <col min="12" max="12" width="40" customWidth="1"/>
  </cols>
  <sheetData>
    <row r="1" spans="1:12" ht="19.2" x14ac:dyDescent="0.35">
      <c r="A1" s="11" t="s">
        <v>436</v>
      </c>
    </row>
    <row r="2" spans="1:12" x14ac:dyDescent="0.3">
      <c r="A2" s="12" t="s">
        <v>437</v>
      </c>
    </row>
    <row r="4" spans="1:12" x14ac:dyDescent="0.3">
      <c r="A4" s="45" t="s">
        <v>438</v>
      </c>
    </row>
    <row r="5" spans="1:12" ht="30" customHeight="1" x14ac:dyDescent="0.3">
      <c r="A5" s="80" t="s">
        <v>20</v>
      </c>
      <c r="B5" s="80" t="s">
        <v>177</v>
      </c>
      <c r="C5" s="80" t="s">
        <v>439</v>
      </c>
      <c r="D5" s="80" t="s">
        <v>440</v>
      </c>
      <c r="E5" s="80" t="s">
        <v>441</v>
      </c>
      <c r="F5" s="80" t="s">
        <v>442</v>
      </c>
      <c r="G5" s="80" t="s">
        <v>443</v>
      </c>
      <c r="H5" s="80" t="s">
        <v>444</v>
      </c>
      <c r="I5" s="80" t="s">
        <v>445</v>
      </c>
      <c r="J5" s="80" t="s">
        <v>446</v>
      </c>
      <c r="K5" s="80" t="s">
        <v>447</v>
      </c>
      <c r="L5" s="80" t="s">
        <v>6</v>
      </c>
    </row>
    <row r="6" spans="1:12" x14ac:dyDescent="0.3">
      <c r="A6" s="14" t="s">
        <v>160</v>
      </c>
      <c r="B6" s="17" t="s">
        <v>32</v>
      </c>
      <c r="C6" s="30">
        <f>'Raw Data'!C6</f>
        <v>146767</v>
      </c>
      <c r="D6" s="30">
        <f>'Raw Data'!D6</f>
        <v>153670</v>
      </c>
      <c r="E6" s="30">
        <f>'Raw Data'!E6</f>
        <v>162990</v>
      </c>
      <c r="F6" s="46">
        <f t="shared" ref="F6:F18" si="0">IFERROR(D6/C6-1,"n.m.")</f>
        <v>4.7033733741236095E-2</v>
      </c>
      <c r="G6" s="46">
        <f t="shared" ref="G6:G18" si="1">IFERROR(E6/D6-1,"n.m.")</f>
        <v>6.0649443612936782E-2</v>
      </c>
      <c r="H6" s="46">
        <f t="shared" ref="H6:H18" si="2">IFERROR((E6/C6)^(1/2)-1,"n.m.")</f>
        <v>5.3819598952599579E-2</v>
      </c>
      <c r="I6" s="47" t="str">
        <f t="shared" ref="I6:I18" si="3">IF(AND(D6&gt;C6,E6&gt;D6),"Rose in both years",IF(AND(D6&lt;C6,E6&lt;D6),"Fell in both years",IF(AND(D6&gt;=C6,E6&lt;D6),"Rose, then fell",IF(AND(D6&lt;C6,E6&gt;=D6),"Fell, then rose","Flat"))))</f>
        <v>Rose in both years</v>
      </c>
      <c r="J6" s="48" t="s">
        <v>448</v>
      </c>
      <c r="K6" s="49" t="str">
        <f t="shared" ref="K6:K18" si="4">IF(J6="Neutral","–",IF(E6=C6,"Unchanged",IF(SIGN(E6-C6)*IF(J6="Better",1,-1)&gt;0,"Favourable","Unfavourable")))</f>
        <v>Favourable</v>
      </c>
      <c r="L6" s="14" t="s">
        <v>34</v>
      </c>
    </row>
    <row r="7" spans="1:12" x14ac:dyDescent="0.3">
      <c r="A7" s="14" t="s">
        <v>165</v>
      </c>
      <c r="B7" s="17" t="s">
        <v>38</v>
      </c>
      <c r="C7" s="30">
        <f>'Raw Data'!C7</f>
        <v>30905</v>
      </c>
      <c r="D7" s="30">
        <f>'Raw Data'!D7</f>
        <v>31747</v>
      </c>
      <c r="E7" s="30">
        <f>'Raw Data'!E7</f>
        <v>34424</v>
      </c>
      <c r="F7" s="46">
        <f t="shared" si="0"/>
        <v>2.7244782397670253E-2</v>
      </c>
      <c r="G7" s="46">
        <f t="shared" si="1"/>
        <v>8.4322928150691423E-2</v>
      </c>
      <c r="H7" s="46">
        <f t="shared" si="2"/>
        <v>5.5398062522838742E-2</v>
      </c>
      <c r="I7" s="47" t="str">
        <f t="shared" si="3"/>
        <v>Rose in both years</v>
      </c>
      <c r="J7" s="48" t="s">
        <v>448</v>
      </c>
      <c r="K7" s="49" t="str">
        <f t="shared" si="4"/>
        <v>Favourable</v>
      </c>
      <c r="L7" s="14" t="s">
        <v>34</v>
      </c>
    </row>
    <row r="8" spans="1:12" x14ac:dyDescent="0.3">
      <c r="A8" s="14" t="s">
        <v>168</v>
      </c>
      <c r="B8" s="17" t="s">
        <v>449</v>
      </c>
      <c r="C8" s="30">
        <f>'Raw Data'!C11</f>
        <v>24108</v>
      </c>
      <c r="D8" s="30">
        <f>'Raw Data'!D11</f>
        <v>26248</v>
      </c>
      <c r="E8" s="30">
        <f>'Raw Data'!E11</f>
        <v>26750</v>
      </c>
      <c r="F8" s="46">
        <f t="shared" si="0"/>
        <v>8.8767214202754241E-2</v>
      </c>
      <c r="G8" s="46">
        <f t="shared" si="1"/>
        <v>1.9125266686985665E-2</v>
      </c>
      <c r="H8" s="46">
        <f t="shared" si="2"/>
        <v>5.337086419476611E-2</v>
      </c>
      <c r="I8" s="47" t="str">
        <f t="shared" si="3"/>
        <v>Rose in both years</v>
      </c>
      <c r="J8" s="48" t="s">
        <v>448</v>
      </c>
      <c r="K8" s="49" t="str">
        <f t="shared" si="4"/>
        <v>Favourable</v>
      </c>
      <c r="L8" s="14" t="s">
        <v>34</v>
      </c>
    </row>
    <row r="9" spans="1:12" x14ac:dyDescent="0.3">
      <c r="A9" s="14" t="s">
        <v>171</v>
      </c>
      <c r="B9" s="17" t="s">
        <v>55</v>
      </c>
      <c r="C9" s="30">
        <f>'Raw Data'!C15</f>
        <v>75795</v>
      </c>
      <c r="D9" s="30">
        <f>'Raw Data'!D15</f>
        <v>88461</v>
      </c>
      <c r="E9" s="30">
        <f>'Raw Data'!E15</f>
        <v>96203</v>
      </c>
      <c r="F9" s="46">
        <f t="shared" si="0"/>
        <v>0.16710864832772621</v>
      </c>
      <c r="G9" s="46">
        <f t="shared" si="1"/>
        <v>8.7518793592656685E-2</v>
      </c>
      <c r="H9" s="46">
        <f t="shared" si="2"/>
        <v>0.12661110824495458</v>
      </c>
      <c r="I9" s="47" t="str">
        <f t="shared" si="3"/>
        <v>Rose in both years</v>
      </c>
      <c r="J9" s="48" t="s">
        <v>448</v>
      </c>
      <c r="K9" s="49" t="str">
        <f t="shared" si="4"/>
        <v>Favourable</v>
      </c>
      <c r="L9" s="14" t="s">
        <v>34</v>
      </c>
    </row>
    <row r="10" spans="1:12" x14ac:dyDescent="0.3">
      <c r="A10" s="14" t="s">
        <v>450</v>
      </c>
      <c r="B10" s="17" t="s">
        <v>75</v>
      </c>
      <c r="C10" s="30">
        <f>'Raw Data'!C23</f>
        <v>125816</v>
      </c>
      <c r="D10" s="30">
        <f>'Raw Data'!D23</f>
        <v>137814</v>
      </c>
      <c r="E10" s="30">
        <f>'Raw Data'!E23</f>
        <v>148903</v>
      </c>
      <c r="F10" s="46">
        <f t="shared" si="0"/>
        <v>9.5361480256882958E-2</v>
      </c>
      <c r="G10" s="46">
        <f t="shared" si="1"/>
        <v>8.0463523299519668E-2</v>
      </c>
      <c r="H10" s="46">
        <f t="shared" si="2"/>
        <v>8.7886999759133611E-2</v>
      </c>
      <c r="I10" s="47" t="str">
        <f t="shared" si="3"/>
        <v>Rose in both years</v>
      </c>
      <c r="J10" s="48" t="s">
        <v>451</v>
      </c>
      <c r="K10" s="49" t="str">
        <f t="shared" si="4"/>
        <v>–</v>
      </c>
      <c r="L10" s="14" t="s">
        <v>34</v>
      </c>
    </row>
    <row r="11" spans="1:12" x14ac:dyDescent="0.3">
      <c r="A11" s="14" t="s">
        <v>452</v>
      </c>
      <c r="B11" s="17" t="s">
        <v>67</v>
      </c>
      <c r="C11" s="30">
        <f>'Financial Calculations'!C9</f>
        <v>12173</v>
      </c>
      <c r="D11" s="30">
        <f>'Financial Calculations'!D9</f>
        <v>14786</v>
      </c>
      <c r="E11" s="30">
        <f>'Financial Calculations'!E9</f>
        <v>24455</v>
      </c>
      <c r="F11" s="46">
        <f t="shared" si="0"/>
        <v>0.21465538486815072</v>
      </c>
      <c r="G11" s="46">
        <f t="shared" si="1"/>
        <v>0.65392939266874062</v>
      </c>
      <c r="H11" s="46">
        <f t="shared" si="2"/>
        <v>0.41737582983370936</v>
      </c>
      <c r="I11" s="47" t="str">
        <f t="shared" si="3"/>
        <v>Rose in both years</v>
      </c>
      <c r="J11" s="48" t="s">
        <v>448</v>
      </c>
      <c r="K11" s="49" t="str">
        <f t="shared" si="4"/>
        <v>Favourable</v>
      </c>
      <c r="L11" s="14" t="s">
        <v>34</v>
      </c>
    </row>
    <row r="12" spans="1:12" x14ac:dyDescent="0.3">
      <c r="A12" s="14" t="s">
        <v>453</v>
      </c>
      <c r="B12" s="17" t="s">
        <v>190</v>
      </c>
      <c r="C12" s="30">
        <f>'Financial Calculations'!C10</f>
        <v>19478</v>
      </c>
      <c r="D12" s="30">
        <f>'Financial Calculations'!D10</f>
        <v>24623</v>
      </c>
      <c r="E12" s="30">
        <f>'Financial Calculations'!E10</f>
        <v>23541</v>
      </c>
      <c r="F12" s="46">
        <f t="shared" si="0"/>
        <v>0.26414416264503537</v>
      </c>
      <c r="G12" s="46">
        <f t="shared" si="1"/>
        <v>-4.39426552410348E-2</v>
      </c>
      <c r="H12" s="46">
        <f t="shared" si="2"/>
        <v>9.9360865017014355E-2</v>
      </c>
      <c r="I12" s="47" t="str">
        <f t="shared" si="3"/>
        <v>Rose, then fell</v>
      </c>
      <c r="J12" s="48" t="s">
        <v>451</v>
      </c>
      <c r="K12" s="49" t="str">
        <f t="shared" si="4"/>
        <v>–</v>
      </c>
      <c r="L12" s="14" t="s">
        <v>34</v>
      </c>
    </row>
    <row r="13" spans="1:12" x14ac:dyDescent="0.3">
      <c r="A13" s="14" t="s">
        <v>454</v>
      </c>
      <c r="B13" s="17" t="s">
        <v>194</v>
      </c>
      <c r="C13" s="30">
        <f>'Financial Calculations'!C11</f>
        <v>31651</v>
      </c>
      <c r="D13" s="30">
        <f>'Financial Calculations'!D11</f>
        <v>39409</v>
      </c>
      <c r="E13" s="30">
        <f>'Financial Calculations'!E11</f>
        <v>47996</v>
      </c>
      <c r="F13" s="46">
        <f t="shared" si="0"/>
        <v>0.24511073899718805</v>
      </c>
      <c r="G13" s="46">
        <f t="shared" si="1"/>
        <v>0.21789438960643515</v>
      </c>
      <c r="H13" s="46">
        <f t="shared" si="2"/>
        <v>0.23142737644710398</v>
      </c>
      <c r="I13" s="47" t="str">
        <f t="shared" si="3"/>
        <v>Rose in both years</v>
      </c>
      <c r="J13" s="48" t="s">
        <v>448</v>
      </c>
      <c r="K13" s="49" t="str">
        <f t="shared" si="4"/>
        <v>Favourable</v>
      </c>
      <c r="L13" s="14" t="s">
        <v>195</v>
      </c>
    </row>
    <row r="14" spans="1:12" x14ac:dyDescent="0.3">
      <c r="A14" s="14" t="s">
        <v>455</v>
      </c>
      <c r="B14" s="17" t="s">
        <v>72</v>
      </c>
      <c r="C14" s="30">
        <f>'Financial Calculations'!C21</f>
        <v>31695</v>
      </c>
      <c r="D14" s="30">
        <f>'Financial Calculations'!D21</f>
        <v>50638</v>
      </c>
      <c r="E14" s="30">
        <f>'Financial Calculations'!E21</f>
        <v>54249</v>
      </c>
      <c r="F14" s="46">
        <f t="shared" si="0"/>
        <v>0.59766524688436662</v>
      </c>
      <c r="G14" s="46">
        <f t="shared" si="1"/>
        <v>7.1310083336624697E-2</v>
      </c>
      <c r="H14" s="46">
        <f t="shared" si="2"/>
        <v>0.3082793619039168</v>
      </c>
      <c r="I14" s="47" t="str">
        <f t="shared" si="3"/>
        <v>Rose in both years</v>
      </c>
      <c r="J14" s="48" t="s">
        <v>448</v>
      </c>
      <c r="K14" s="49" t="str">
        <f t="shared" si="4"/>
        <v>Favourable</v>
      </c>
      <c r="L14" s="14" t="s">
        <v>34</v>
      </c>
    </row>
    <row r="15" spans="1:12" x14ac:dyDescent="0.3">
      <c r="A15" s="14" t="s">
        <v>456</v>
      </c>
      <c r="B15" s="17" t="s">
        <v>64</v>
      </c>
      <c r="C15" s="30">
        <f>'Financial Calculations'!C34</f>
        <v>2579</v>
      </c>
      <c r="D15" s="30">
        <f>'Financial Calculations'!D34</f>
        <v>2201</v>
      </c>
      <c r="E15" s="30">
        <f>'Financial Calculations'!E34</f>
        <v>2237</v>
      </c>
      <c r="F15" s="46">
        <f t="shared" si="0"/>
        <v>-0.14656843737882896</v>
      </c>
      <c r="G15" s="46">
        <f t="shared" si="1"/>
        <v>1.6356201726487996E-2</v>
      </c>
      <c r="H15" s="46">
        <f t="shared" si="2"/>
        <v>-6.8662004737724325E-2</v>
      </c>
      <c r="I15" s="47" t="str">
        <f t="shared" si="3"/>
        <v>Fell, then rose</v>
      </c>
      <c r="J15" s="48" t="s">
        <v>451</v>
      </c>
      <c r="K15" s="49" t="str">
        <f t="shared" si="4"/>
        <v>–</v>
      </c>
      <c r="L15" s="14" t="s">
        <v>34</v>
      </c>
    </row>
    <row r="16" spans="1:12" x14ac:dyDescent="0.3">
      <c r="A16" s="14" t="s">
        <v>457</v>
      </c>
      <c r="B16" s="17" t="s">
        <v>41</v>
      </c>
      <c r="C16" s="30">
        <f>'Financial Calculations'!C26</f>
        <v>284</v>
      </c>
      <c r="D16" s="30">
        <f>'Financial Calculations'!D26</f>
        <v>470</v>
      </c>
      <c r="E16" s="30">
        <f>'Financial Calculations'!E26</f>
        <v>416</v>
      </c>
      <c r="F16" s="46">
        <f t="shared" si="0"/>
        <v>0.65492957746478875</v>
      </c>
      <c r="G16" s="46">
        <f t="shared" si="1"/>
        <v>-0.11489361702127665</v>
      </c>
      <c r="H16" s="46">
        <f t="shared" si="2"/>
        <v>0.21028456670089213</v>
      </c>
      <c r="I16" s="47" t="str">
        <f t="shared" si="3"/>
        <v>Rose, then fell</v>
      </c>
      <c r="J16" s="48" t="s">
        <v>458</v>
      </c>
      <c r="K16" s="49" t="str">
        <f t="shared" si="4"/>
        <v>Unfavourable</v>
      </c>
      <c r="L16" s="14" t="s">
        <v>34</v>
      </c>
    </row>
    <row r="17" spans="1:12" x14ac:dyDescent="0.3">
      <c r="A17" s="14" t="s">
        <v>459</v>
      </c>
      <c r="B17" s="17" t="s">
        <v>460</v>
      </c>
      <c r="C17" s="50">
        <f>'Financial Calculations'!C51</f>
        <v>23042.419000000002</v>
      </c>
      <c r="D17" s="50">
        <f>'Financial Calculations'!D51</f>
        <v>26123.9</v>
      </c>
      <c r="E17" s="50">
        <f>'Financial Calculations'!E51</f>
        <v>36835.74</v>
      </c>
      <c r="F17" s="46">
        <f t="shared" si="0"/>
        <v>0.13373079449687975</v>
      </c>
      <c r="G17" s="46">
        <f t="shared" si="1"/>
        <v>0.41003984856778652</v>
      </c>
      <c r="H17" s="46">
        <f t="shared" si="2"/>
        <v>0.26435975805504675</v>
      </c>
      <c r="I17" s="47" t="str">
        <f t="shared" si="3"/>
        <v>Rose in both years</v>
      </c>
      <c r="J17" s="48" t="s">
        <v>448</v>
      </c>
      <c r="K17" s="49" t="str">
        <f t="shared" si="4"/>
        <v>Favourable</v>
      </c>
      <c r="L17" s="40" t="s">
        <v>326</v>
      </c>
    </row>
    <row r="18" spans="1:12" x14ac:dyDescent="0.3">
      <c r="A18" s="14" t="s">
        <v>461</v>
      </c>
      <c r="B18" s="17" t="s">
        <v>462</v>
      </c>
      <c r="C18" s="50">
        <f>'Financial Calculations'!C55</f>
        <v>20463.419000000002</v>
      </c>
      <c r="D18" s="50">
        <f>'Financial Calculations'!D55</f>
        <v>23922.9</v>
      </c>
      <c r="E18" s="50">
        <f>'Financial Calculations'!E55</f>
        <v>34598.74</v>
      </c>
      <c r="F18" s="46">
        <f t="shared" si="0"/>
        <v>0.16905684235855212</v>
      </c>
      <c r="G18" s="46">
        <f t="shared" si="1"/>
        <v>0.44626027780912825</v>
      </c>
      <c r="H18" s="46">
        <f t="shared" si="2"/>
        <v>0.30029245695118223</v>
      </c>
      <c r="I18" s="47" t="str">
        <f t="shared" si="3"/>
        <v>Rose in both years</v>
      </c>
      <c r="J18" s="48" t="s">
        <v>448</v>
      </c>
      <c r="K18" s="49" t="str">
        <f t="shared" si="4"/>
        <v>Favourable</v>
      </c>
      <c r="L18" s="40" t="s">
        <v>326</v>
      </c>
    </row>
    <row r="20" spans="1:12" x14ac:dyDescent="0.3">
      <c r="A20" s="45" t="s">
        <v>463</v>
      </c>
    </row>
    <row r="21" spans="1:12" ht="30" customHeight="1" x14ac:dyDescent="0.3">
      <c r="A21" s="80" t="s">
        <v>20</v>
      </c>
      <c r="B21" s="80" t="s">
        <v>177</v>
      </c>
      <c r="C21" s="80" t="s">
        <v>439</v>
      </c>
      <c r="D21" s="80" t="s">
        <v>440</v>
      </c>
      <c r="E21" s="80" t="s">
        <v>441</v>
      </c>
      <c r="F21" s="80" t="s">
        <v>464</v>
      </c>
      <c r="G21" s="80" t="s">
        <v>465</v>
      </c>
      <c r="H21" s="80" t="s">
        <v>466</v>
      </c>
      <c r="I21" s="80" t="s">
        <v>445</v>
      </c>
      <c r="J21" s="80" t="s">
        <v>446</v>
      </c>
      <c r="K21" s="80" t="s">
        <v>447</v>
      </c>
      <c r="L21" s="80" t="s">
        <v>6</v>
      </c>
    </row>
    <row r="22" spans="1:12" x14ac:dyDescent="0.3">
      <c r="A22" s="14" t="s">
        <v>467</v>
      </c>
      <c r="B22" s="17" t="s">
        <v>321</v>
      </c>
      <c r="C22" s="33">
        <f>'Financial Calculations'!C50</f>
        <v>0.157</v>
      </c>
      <c r="D22" s="33">
        <f>'Financial Calculations'!D50</f>
        <v>0.17</v>
      </c>
      <c r="E22" s="33">
        <f>'Financial Calculations'!E50</f>
        <v>0.22600000000000001</v>
      </c>
      <c r="F22" s="34">
        <f>(D22-C22)*100</f>
        <v>1.3000000000000012</v>
      </c>
      <c r="G22" s="34">
        <f>(E22-D22)*100</f>
        <v>5.6</v>
      </c>
      <c r="H22" s="34">
        <f>(E22-C22)*100</f>
        <v>6.9</v>
      </c>
      <c r="I22" s="47" t="str">
        <f t="shared" ref="I22:I37" si="5">IF(AND(D22&gt;C22,E22&gt;D22),"Rose in both years",IF(AND(D22&lt;C22,E22&lt;D22),"Fell in both years",IF(AND(D22&gt;=C22,E22&lt;D22),"Rose, then fell",IF(AND(D22&lt;C22,E22&gt;=D22),"Fell, then rose","Flat"))))</f>
        <v>Rose in both years</v>
      </c>
      <c r="J22" s="48" t="s">
        <v>448</v>
      </c>
      <c r="K22" s="49" t="str">
        <f t="shared" ref="K22:K37" si="6">IF(J22="Neutral","–",IF(E22=C22,"Unchanged",IF(SIGN(E22-C22)*IF(J22="Better",1,-1)&gt;0,"Favourable","Unfavourable")))</f>
        <v>Favourable</v>
      </c>
      <c r="L22" s="14" t="s">
        <v>83</v>
      </c>
    </row>
    <row r="23" spans="1:12" x14ac:dyDescent="0.3">
      <c r="A23" s="14" t="s">
        <v>468</v>
      </c>
      <c r="B23" s="17" t="s">
        <v>469</v>
      </c>
      <c r="C23" s="51">
        <f>'Financial Calculations'!C58</f>
        <v>0.13942792998426079</v>
      </c>
      <c r="D23" s="51">
        <f>'Financial Calculations'!D58</f>
        <v>0.1556771002798204</v>
      </c>
      <c r="E23" s="51">
        <f>'Financial Calculations'!E58</f>
        <v>0.21227523160930117</v>
      </c>
      <c r="F23" s="34">
        <f>(D23-C23)*100</f>
        <v>1.6249170295559612</v>
      </c>
      <c r="G23" s="34">
        <f>(E23-D23)*100</f>
        <v>5.6598131329480772</v>
      </c>
      <c r="H23" s="34">
        <f>(E23-C23)*100</f>
        <v>7.2847301625040384</v>
      </c>
      <c r="I23" s="47" t="str">
        <f t="shared" si="5"/>
        <v>Rose in both years</v>
      </c>
      <c r="J23" s="48" t="s">
        <v>448</v>
      </c>
      <c r="K23" s="49" t="str">
        <f t="shared" si="6"/>
        <v>Favourable</v>
      </c>
      <c r="L23" s="40" t="s">
        <v>326</v>
      </c>
    </row>
    <row r="24" spans="1:12" x14ac:dyDescent="0.3">
      <c r="A24" s="14" t="s">
        <v>470</v>
      </c>
      <c r="B24" s="17" t="s">
        <v>471</v>
      </c>
      <c r="C24" s="52">
        <f>'Financial Calculations'!C59</f>
        <v>0.95579969304795098</v>
      </c>
      <c r="D24" s="52">
        <f>'Financial Calculations'!D59</f>
        <v>0.99527202072538867</v>
      </c>
      <c r="E24" s="52">
        <f>'Financial Calculations'!E59</f>
        <v>1.3770370093457944</v>
      </c>
      <c r="F24" s="53">
        <f>(D24-C24)</f>
        <v>3.9472327677437691E-2</v>
      </c>
      <c r="G24" s="53">
        <f>(E24-D24)</f>
        <v>0.38176498862040575</v>
      </c>
      <c r="H24" s="53">
        <f>(E24-C24)</f>
        <v>0.42123731629784344</v>
      </c>
      <c r="I24" s="47" t="str">
        <f t="shared" si="5"/>
        <v>Rose in both years</v>
      </c>
      <c r="J24" s="48" t="s">
        <v>448</v>
      </c>
      <c r="K24" s="49" t="str">
        <f t="shared" si="6"/>
        <v>Favourable</v>
      </c>
      <c r="L24" s="40" t="s">
        <v>326</v>
      </c>
    </row>
    <row r="25" spans="1:12" x14ac:dyDescent="0.3">
      <c r="A25" s="14" t="s">
        <v>472</v>
      </c>
      <c r="B25" s="17" t="s">
        <v>473</v>
      </c>
      <c r="C25" s="33">
        <f>'Financial Calculations'!C15</f>
        <v>0.249</v>
      </c>
      <c r="D25" s="33">
        <f>'Financial Calculations'!D15</f>
        <v>0.28299999999999997</v>
      </c>
      <c r="E25" s="33">
        <f>'Financial Calculations'!E15</f>
        <v>0.31900000000000001</v>
      </c>
      <c r="F25" s="34">
        <f t="shared" ref="F25:G27" si="7">(D25-C25)*100</f>
        <v>3.3999999999999977</v>
      </c>
      <c r="G25" s="34">
        <f t="shared" si="7"/>
        <v>3.6000000000000032</v>
      </c>
      <c r="H25" s="34">
        <f>(E25-C25)*100</f>
        <v>7.0000000000000009</v>
      </c>
      <c r="I25" s="47" t="str">
        <f t="shared" si="5"/>
        <v>Rose in both years</v>
      </c>
      <c r="J25" s="48" t="s">
        <v>448</v>
      </c>
      <c r="K25" s="49" t="str">
        <f t="shared" si="6"/>
        <v>Favourable</v>
      </c>
      <c r="L25" s="14" t="s">
        <v>83</v>
      </c>
    </row>
    <row r="26" spans="1:12" x14ac:dyDescent="0.3">
      <c r="A26" s="14" t="s">
        <v>474</v>
      </c>
      <c r="B26" s="17" t="s">
        <v>475</v>
      </c>
      <c r="C26" s="33">
        <f>'Financial Calculations'!C18</f>
        <v>0.21299999999999999</v>
      </c>
      <c r="D26" s="33">
        <f>'Financial Calculations'!D18</f>
        <v>0.254</v>
      </c>
      <c r="E26" s="33">
        <f>'Financial Calculations'!E18</f>
        <v>0.29199999999999998</v>
      </c>
      <c r="F26" s="34">
        <f t="shared" si="7"/>
        <v>4.1000000000000005</v>
      </c>
      <c r="G26" s="34">
        <f t="shared" si="7"/>
        <v>3.799999999999998</v>
      </c>
      <c r="H26" s="34">
        <f>(E26-C26)*100</f>
        <v>7.8999999999999986</v>
      </c>
      <c r="I26" s="47" t="str">
        <f t="shared" si="5"/>
        <v>Rose in both years</v>
      </c>
      <c r="J26" s="48" t="s">
        <v>448</v>
      </c>
      <c r="K26" s="49" t="str">
        <f t="shared" si="6"/>
        <v>Favourable</v>
      </c>
      <c r="L26" s="14" t="s">
        <v>83</v>
      </c>
    </row>
    <row r="27" spans="1:12" x14ac:dyDescent="0.3">
      <c r="A27" s="14" t="s">
        <v>476</v>
      </c>
      <c r="B27" s="17" t="s">
        <v>477</v>
      </c>
      <c r="C27" s="33">
        <f>'Financial Calculations'!C13</f>
        <v>0.38460080250229062</v>
      </c>
      <c r="D27" s="33">
        <f>'Financial Calculations'!D13</f>
        <v>0.37519348372199246</v>
      </c>
      <c r="E27" s="33">
        <f>'Financial Calculations'!E13</f>
        <v>0.50952162680223356</v>
      </c>
      <c r="F27" s="34">
        <f t="shared" si="7"/>
        <v>-0.94073187802981573</v>
      </c>
      <c r="G27" s="34">
        <f t="shared" si="7"/>
        <v>13.43281430802411</v>
      </c>
      <c r="H27" s="34">
        <f>(E27-C27)*100</f>
        <v>12.492082429994294</v>
      </c>
      <c r="I27" s="47" t="str">
        <f t="shared" si="5"/>
        <v>Fell, then rose</v>
      </c>
      <c r="J27" s="48" t="s">
        <v>448</v>
      </c>
      <c r="K27" s="49" t="str">
        <f t="shared" si="6"/>
        <v>Favourable</v>
      </c>
      <c r="L27" s="14" t="s">
        <v>195</v>
      </c>
    </row>
    <row r="28" spans="1:12" x14ac:dyDescent="0.3">
      <c r="A28" s="14" t="s">
        <v>478</v>
      </c>
      <c r="B28" s="17" t="s">
        <v>261</v>
      </c>
      <c r="C28" s="38">
        <f>'Financial Calculations'!C30</f>
        <v>99.710129291743627</v>
      </c>
      <c r="D28" s="38">
        <f>'Financial Calculations'!D30</f>
        <v>117.97843721037049</v>
      </c>
      <c r="E28" s="38">
        <f>'Financial Calculations'!E30</f>
        <v>136.26106435605058</v>
      </c>
      <c r="F28" s="54">
        <f>(D28-C28)</f>
        <v>18.26830791862686</v>
      </c>
      <c r="G28" s="54">
        <f>(E28-D28)</f>
        <v>18.282627145680095</v>
      </c>
      <c r="H28" s="54">
        <f>(E28-C28)</f>
        <v>36.550935064306955</v>
      </c>
      <c r="I28" s="47" t="str">
        <f t="shared" si="5"/>
        <v>Rose in both years</v>
      </c>
      <c r="J28" s="48" t="s">
        <v>448</v>
      </c>
      <c r="K28" s="49" t="str">
        <f t="shared" si="6"/>
        <v>Favourable</v>
      </c>
      <c r="L28" s="14" t="s">
        <v>195</v>
      </c>
    </row>
    <row r="29" spans="1:12" x14ac:dyDescent="0.3">
      <c r="A29" s="14" t="s">
        <v>479</v>
      </c>
      <c r="B29" s="17" t="s">
        <v>233</v>
      </c>
      <c r="C29" s="33">
        <f>'Financial Calculations'!C22</f>
        <v>0.21595454018955215</v>
      </c>
      <c r="D29" s="33">
        <f>'Financial Calculations'!D22</f>
        <v>0.32952430532960242</v>
      </c>
      <c r="E29" s="33">
        <f>'Financial Calculations'!E22</f>
        <v>0.33283637032946806</v>
      </c>
      <c r="F29" s="34">
        <f t="shared" ref="F29:G31" si="8">(D29-C29)*100</f>
        <v>11.356976514005027</v>
      </c>
      <c r="G29" s="34">
        <f t="shared" si="8"/>
        <v>0.33120649998656382</v>
      </c>
      <c r="H29" s="34">
        <f>(E29-C29)*100</f>
        <v>11.688183013991591</v>
      </c>
      <c r="I29" s="47" t="str">
        <f t="shared" si="5"/>
        <v>Rose in both years</v>
      </c>
      <c r="J29" s="48" t="s">
        <v>448</v>
      </c>
      <c r="K29" s="49" t="str">
        <f t="shared" si="6"/>
        <v>Favourable</v>
      </c>
      <c r="L29" s="14" t="s">
        <v>195</v>
      </c>
    </row>
    <row r="30" spans="1:12" x14ac:dyDescent="0.3">
      <c r="A30" s="14" t="s">
        <v>480</v>
      </c>
      <c r="B30" s="17" t="s">
        <v>239</v>
      </c>
      <c r="C30" s="33">
        <f>'Financial Calculations'!C24</f>
        <v>0.60242735423157623</v>
      </c>
      <c r="D30" s="33">
        <f>'Financial Calculations'!D24</f>
        <v>0.64188689102703644</v>
      </c>
      <c r="E30" s="33">
        <f>'Financial Calculations'!E24</f>
        <v>0.64607831944285876</v>
      </c>
      <c r="F30" s="34">
        <f t="shared" si="8"/>
        <v>3.9459536795460215</v>
      </c>
      <c r="G30" s="34">
        <f t="shared" si="8"/>
        <v>0.41914284158223181</v>
      </c>
      <c r="H30" s="34">
        <f>(E30-C30)*100</f>
        <v>4.3650965211282529</v>
      </c>
      <c r="I30" s="47" t="str">
        <f t="shared" si="5"/>
        <v>Rose in both years</v>
      </c>
      <c r="J30" s="48" t="s">
        <v>448</v>
      </c>
      <c r="K30" s="49" t="str">
        <f t="shared" si="6"/>
        <v>Favourable</v>
      </c>
      <c r="L30" s="14" t="s">
        <v>195</v>
      </c>
    </row>
    <row r="31" spans="1:12" x14ac:dyDescent="0.3">
      <c r="A31" s="14" t="s">
        <v>481</v>
      </c>
      <c r="B31" s="17" t="s">
        <v>277</v>
      </c>
      <c r="C31" s="33">
        <f>'Financial Calculations'!C35</f>
        <v>1.7572070015739231E-2</v>
      </c>
      <c r="D31" s="33">
        <f>'Financial Calculations'!D35</f>
        <v>1.4322899720179605E-2</v>
      </c>
      <c r="E31" s="33">
        <f>'Financial Calculations'!E35</f>
        <v>1.3724768390698815E-2</v>
      </c>
      <c r="F31" s="34">
        <f t="shared" si="8"/>
        <v>-0.32491702955596263</v>
      </c>
      <c r="G31" s="34">
        <f t="shared" si="8"/>
        <v>-5.9813132948078988E-2</v>
      </c>
      <c r="H31" s="34">
        <f>(E31-C31)*100</f>
        <v>-0.38473016250404163</v>
      </c>
      <c r="I31" s="47" t="str">
        <f t="shared" si="5"/>
        <v>Fell in both years</v>
      </c>
      <c r="J31" s="48" t="s">
        <v>451</v>
      </c>
      <c r="K31" s="49" t="str">
        <f t="shared" si="6"/>
        <v>–</v>
      </c>
      <c r="L31" s="14" t="s">
        <v>195</v>
      </c>
    </row>
    <row r="32" spans="1:12" x14ac:dyDescent="0.3">
      <c r="A32" s="14" t="s">
        <v>482</v>
      </c>
      <c r="B32" s="17" t="s">
        <v>250</v>
      </c>
      <c r="C32" s="55">
        <f>'Financial Calculations'!C27</f>
        <v>108.82042253521126</v>
      </c>
      <c r="D32" s="55">
        <f>'Financial Calculations'!D27</f>
        <v>67.5468085106383</v>
      </c>
      <c r="E32" s="55">
        <f>'Financial Calculations'!E27</f>
        <v>82.75</v>
      </c>
      <c r="F32" s="56">
        <f>(D32-C32)</f>
        <v>-41.273614024572964</v>
      </c>
      <c r="G32" s="56">
        <f>(E32-D32)</f>
        <v>15.2031914893617</v>
      </c>
      <c r="H32" s="56">
        <f>(E32-C32)</f>
        <v>-26.070422535211264</v>
      </c>
      <c r="I32" s="47" t="str">
        <f t="shared" si="5"/>
        <v>Fell, then rose</v>
      </c>
      <c r="J32" s="48" t="s">
        <v>448</v>
      </c>
      <c r="K32" s="49" t="str">
        <f t="shared" si="6"/>
        <v>Unfavourable</v>
      </c>
      <c r="L32" s="14" t="s">
        <v>195</v>
      </c>
    </row>
    <row r="33" spans="1:12" x14ac:dyDescent="0.3">
      <c r="A33" s="14" t="s">
        <v>483</v>
      </c>
      <c r="B33" s="17" t="s">
        <v>484</v>
      </c>
      <c r="C33" s="38">
        <f>'Financial Calculations'!C32</f>
        <v>62</v>
      </c>
      <c r="D33" s="38">
        <f>'Financial Calculations'!D32</f>
        <v>71</v>
      </c>
      <c r="E33" s="38">
        <f>'Financial Calculations'!E32</f>
        <v>69</v>
      </c>
      <c r="F33" s="54">
        <f>(D33-C33)</f>
        <v>9</v>
      </c>
      <c r="G33" s="54">
        <f>(E33-D33)</f>
        <v>-2</v>
      </c>
      <c r="H33" s="54">
        <f>(E33-C33)</f>
        <v>7</v>
      </c>
      <c r="I33" s="47" t="str">
        <f t="shared" si="5"/>
        <v>Rose, then fell</v>
      </c>
      <c r="J33" s="48" t="s">
        <v>458</v>
      </c>
      <c r="K33" s="49" t="str">
        <f t="shared" si="6"/>
        <v>Unfavourable</v>
      </c>
      <c r="L33" s="14" t="s">
        <v>83</v>
      </c>
    </row>
    <row r="34" spans="1:12" x14ac:dyDescent="0.3">
      <c r="A34" s="14" t="s">
        <v>485</v>
      </c>
      <c r="B34" s="17" t="s">
        <v>313</v>
      </c>
      <c r="C34" s="33">
        <f>'Financial Calculations'!C47</f>
        <v>0.69499999999999995</v>
      </c>
      <c r="D34" s="33">
        <f>'Financial Calculations'!D47</f>
        <v>0.8</v>
      </c>
      <c r="E34" s="33">
        <f>'Financial Calculations'!E47</f>
        <v>0.51700000000000002</v>
      </c>
      <c r="F34" s="34">
        <f t="shared" ref="F34:G37" si="9">(D34-C34)*100</f>
        <v>10.500000000000009</v>
      </c>
      <c r="G34" s="34">
        <f t="shared" si="9"/>
        <v>-28.300000000000004</v>
      </c>
      <c r="H34" s="34">
        <f>(E34-C34)*100</f>
        <v>-17.799999999999994</v>
      </c>
      <c r="I34" s="47" t="str">
        <f t="shared" si="5"/>
        <v>Rose, then fell</v>
      </c>
      <c r="J34" s="48" t="s">
        <v>451</v>
      </c>
      <c r="K34" s="49" t="str">
        <f t="shared" si="6"/>
        <v>–</v>
      </c>
      <c r="L34" s="14" t="s">
        <v>83</v>
      </c>
    </row>
    <row r="35" spans="1:12" x14ac:dyDescent="0.3">
      <c r="A35" s="14" t="s">
        <v>486</v>
      </c>
      <c r="B35" s="17" t="s">
        <v>298</v>
      </c>
      <c r="C35" s="33">
        <f>'Financial Calculations'!C42</f>
        <v>0.21099999999999999</v>
      </c>
      <c r="D35" s="33">
        <f>'Financial Calculations'!D42</f>
        <v>0.20699999999999999</v>
      </c>
      <c r="E35" s="33">
        <f>'Financial Calculations'!E42</f>
        <v>0.21099999999999999</v>
      </c>
      <c r="F35" s="34">
        <f t="shared" si="9"/>
        <v>-0.40000000000000036</v>
      </c>
      <c r="G35" s="34">
        <f t="shared" si="9"/>
        <v>0.40000000000000036</v>
      </c>
      <c r="H35" s="34">
        <f>(E35-C35)*100</f>
        <v>0</v>
      </c>
      <c r="I35" s="47" t="str">
        <f t="shared" si="5"/>
        <v>Fell, then rose</v>
      </c>
      <c r="J35" s="48" t="s">
        <v>448</v>
      </c>
      <c r="K35" s="49" t="str">
        <f t="shared" si="6"/>
        <v>Unchanged</v>
      </c>
      <c r="L35" s="14" t="s">
        <v>83</v>
      </c>
    </row>
    <row r="36" spans="1:12" x14ac:dyDescent="0.3">
      <c r="A36" s="14" t="s">
        <v>487</v>
      </c>
      <c r="B36" s="17" t="s">
        <v>304</v>
      </c>
      <c r="C36" s="33">
        <f>'Financial Calculations'!C44</f>
        <v>0.16400000000000001</v>
      </c>
      <c r="D36" s="33">
        <f>'Financial Calculations'!D44</f>
        <v>0.17100000000000001</v>
      </c>
      <c r="E36" s="33">
        <f>'Financial Calculations'!E44</f>
        <v>0.16400000000000001</v>
      </c>
      <c r="F36" s="34">
        <f t="shared" si="9"/>
        <v>0.70000000000000062</v>
      </c>
      <c r="G36" s="34">
        <f t="shared" si="9"/>
        <v>-0.70000000000000062</v>
      </c>
      <c r="H36" s="34">
        <f>(E36-C36)*100</f>
        <v>0</v>
      </c>
      <c r="I36" s="47" t="str">
        <f t="shared" si="5"/>
        <v>Rose, then fell</v>
      </c>
      <c r="J36" s="48" t="s">
        <v>448</v>
      </c>
      <c r="K36" s="49" t="str">
        <f t="shared" si="6"/>
        <v>Unchanged</v>
      </c>
      <c r="L36" s="14" t="s">
        <v>83</v>
      </c>
    </row>
    <row r="37" spans="1:12" x14ac:dyDescent="0.3">
      <c r="A37" s="14" t="s">
        <v>488</v>
      </c>
      <c r="B37" s="17" t="s">
        <v>317</v>
      </c>
      <c r="C37" s="33">
        <f>'Financial Calculations'!C48</f>
        <v>0.312</v>
      </c>
      <c r="D37" s="33">
        <f>'Financial Calculations'!D48</f>
        <v>0.32100000000000001</v>
      </c>
      <c r="E37" s="33">
        <f>'Financial Calculations'!E48</f>
        <v>0.28999999999999998</v>
      </c>
      <c r="F37" s="34">
        <f t="shared" si="9"/>
        <v>0.9000000000000008</v>
      </c>
      <c r="G37" s="34">
        <f t="shared" si="9"/>
        <v>-3.1000000000000028</v>
      </c>
      <c r="H37" s="34">
        <f>(E37-C37)*100</f>
        <v>-2.200000000000002</v>
      </c>
      <c r="I37" s="47" t="str">
        <f t="shared" si="5"/>
        <v>Rose, then fell</v>
      </c>
      <c r="J37" s="48" t="s">
        <v>448</v>
      </c>
      <c r="K37" s="49" t="str">
        <f t="shared" si="6"/>
        <v>Unfavourable</v>
      </c>
      <c r="L37" s="14" t="s">
        <v>83</v>
      </c>
    </row>
    <row r="39" spans="1:12" x14ac:dyDescent="0.3">
      <c r="A39" s="45" t="s">
        <v>489</v>
      </c>
    </row>
    <row r="40" spans="1:12" ht="24" customHeight="1" x14ac:dyDescent="0.3">
      <c r="A40" s="80" t="s">
        <v>490</v>
      </c>
      <c r="B40" s="80" t="s">
        <v>491</v>
      </c>
      <c r="C40" s="83" t="s">
        <v>492</v>
      </c>
      <c r="D40" s="83"/>
      <c r="E40" s="83"/>
      <c r="F40" s="83" t="s">
        <v>493</v>
      </c>
      <c r="G40" s="83"/>
      <c r="H40" s="83"/>
      <c r="I40" s="83"/>
      <c r="J40" s="83"/>
      <c r="K40" s="83"/>
      <c r="L40" s="83"/>
    </row>
    <row r="41" spans="1:12" ht="31.5" customHeight="1" x14ac:dyDescent="0.3">
      <c r="A41" s="14" t="s">
        <v>494</v>
      </c>
      <c r="B41" s="29" t="s">
        <v>495</v>
      </c>
      <c r="C41" s="9" t="str">
        <f>IF(AND(E22&gt;D22,D22&gt;C22),"Improving",IF(AND(E22&lt;D22,D22&lt;C22),"Weakening","Mixed"))</f>
        <v>Improving</v>
      </c>
      <c r="D41" s="9"/>
      <c r="E41" s="9"/>
      <c r="F41" s="8" t="str">
        <f>"OCF ÷ revenue (printed): "&amp;TEXT(C22,"0.0%")&amp;" → "&amp;TEXT(D22,"0.0%")&amp;" → "&amp;TEXT(E22,"0.0%")&amp;". Derived OCF about ₹"&amp;TEXT(C17,"#,##0")&amp;" → ₹"&amp;TEXT(D17,"#,##0")&amp;" → ₹"&amp;TEXT(E17,"#,##0")&amp;" crore (approximate)."</f>
        <v>OCF ÷ revenue (printed): 15.7% → 17.0% → 22.6%. Derived OCF about ₹23,042 → ₹26,124 → ₹36,836 crore (approximate).</v>
      </c>
      <c r="G41" s="8"/>
      <c r="H41" s="8"/>
      <c r="I41" s="8"/>
      <c r="J41" s="8"/>
      <c r="K41" s="8"/>
      <c r="L41" s="8"/>
    </row>
    <row r="42" spans="1:12" ht="31.5" customHeight="1" x14ac:dyDescent="0.3">
      <c r="A42" s="14" t="s">
        <v>496</v>
      </c>
      <c r="B42" s="29" t="s">
        <v>497</v>
      </c>
      <c r="C42" s="9" t="str">
        <f>IF(AND(E23&gt;D23,D23&gt;C23),"Improving",IF(AND(E23&lt;D23,D23&lt;C23),"Weakening","Mixed"))</f>
        <v>Improving</v>
      </c>
      <c r="D42" s="9"/>
      <c r="E42" s="9"/>
      <c r="F42" s="8" t="str">
        <f>"Derived FCF margin: "&amp;TEXT(C23,"0.0%")&amp;" → "&amp;TEXT(D23,"0.0%")&amp;" → "&amp;TEXT(E23,"0.0%")&amp;"; derived FCF about ₹"&amp;TEXT(E18,"#,##0")&amp;" crore in FY25 (approximate)."</f>
        <v>Derived FCF margin: 13.9% → 15.6% → 21.2%; derived FCF about ₹34,599 crore in FY25 (approximate).</v>
      </c>
      <c r="G42" s="8"/>
      <c r="H42" s="8"/>
      <c r="I42" s="8"/>
      <c r="J42" s="8"/>
      <c r="K42" s="8"/>
      <c r="L42" s="8"/>
    </row>
    <row r="43" spans="1:12" ht="31.5" customHeight="1" x14ac:dyDescent="0.3">
      <c r="A43" s="14" t="s">
        <v>498</v>
      </c>
      <c r="B43" s="29" t="s">
        <v>499</v>
      </c>
      <c r="C43" s="9" t="str">
        <f>IF(AND(E25&gt;D25,D25&gt;C25),"Improving",IF(AND(E25&lt;D25,D25&lt;C25),"Weakening","Mixed"))</f>
        <v>Improving</v>
      </c>
      <c r="D43" s="9"/>
      <c r="E43" s="9"/>
      <c r="F43" s="8" t="str">
        <f>"Cash and investments ÷ total assets (company): "&amp;TEXT(C25,"0.0%")&amp;" → "&amp;TEXT(D25,"0.0%")&amp;" → "&amp;TEXT(E25,"0.0%")&amp;"."</f>
        <v>Cash and investments ÷ total assets (company): 24.9% → 28.3% → 31.9%.</v>
      </c>
      <c r="G43" s="8"/>
      <c r="H43" s="8"/>
      <c r="I43" s="8"/>
      <c r="J43" s="8"/>
      <c r="K43" s="8"/>
      <c r="L43" s="8"/>
    </row>
    <row r="44" spans="1:12" ht="31.5" customHeight="1" x14ac:dyDescent="0.3">
      <c r="A44" s="14" t="s">
        <v>500</v>
      </c>
      <c r="B44" s="29" t="s">
        <v>501</v>
      </c>
      <c r="C44" s="9" t="str">
        <f>IF(AND(E28&gt;D28,D28&gt;C28),"Improving",IF(AND(E28&lt;D28,D28&lt;C28),"Weakening","Mixed"))</f>
        <v>Improving</v>
      </c>
      <c r="D44" s="9"/>
      <c r="E44" s="9"/>
      <c r="F44" s="8" t="str">
        <f>"Days covered by cash + investments: "&amp;TEXT(C28,"0")&amp;" → "&amp;TEXT(D28,"0")&amp;" → "&amp;TEXT(E28,"0")&amp;" (cash and equivalents alone: "&amp;TEXT('Financial Calculations'!C31,"0")&amp;" → "&amp;TEXT('Financial Calculations'!E31,"0")&amp;")."</f>
        <v>Days covered by cash + investments: 100 → 118 → 136 (cash and equivalents alone: 38 → 69).</v>
      </c>
      <c r="G44" s="8"/>
      <c r="H44" s="8"/>
      <c r="I44" s="8"/>
      <c r="J44" s="8"/>
      <c r="K44" s="8"/>
      <c r="L44" s="8"/>
    </row>
    <row r="45" spans="1:12" ht="31.5" customHeight="1" x14ac:dyDescent="0.3">
      <c r="A45" s="14" t="s">
        <v>502</v>
      </c>
      <c r="B45" s="29" t="s">
        <v>503</v>
      </c>
      <c r="C45" s="9" t="str">
        <f>IF(AND(E31&gt;D31,D31&gt;C31),"Heavier",IF(AND(E31&lt;D31,D31&lt;C31),"Lighter","Mixed"))</f>
        <v>Lighter</v>
      </c>
      <c r="D45" s="9"/>
      <c r="E45" s="9"/>
      <c r="F45" s="8" t="str">
        <f>"Capex ÷ revenue: "&amp;TEXT(C31,"0.0%")&amp;" → "&amp;TEXT(D31,"0.0%")&amp;" → "&amp;TEXT(E31,"0.0%")&amp;"."</f>
        <v>Capex ÷ revenue: 1.8% → 1.4% → 1.4%.</v>
      </c>
      <c r="G45" s="8"/>
      <c r="H45" s="8"/>
      <c r="I45" s="8"/>
      <c r="J45" s="8"/>
      <c r="K45" s="8"/>
      <c r="L45" s="8"/>
    </row>
    <row r="46" spans="1:12" ht="31.5" customHeight="1" x14ac:dyDescent="0.3">
      <c r="A46" s="14" t="s">
        <v>504</v>
      </c>
      <c r="B46" s="29" t="s">
        <v>505</v>
      </c>
      <c r="C46" s="9" t="str">
        <f>IF(SUM('Raw Data'!$C$16:$E$16)=0,"No debt","Debt present")</f>
        <v>No debt</v>
      </c>
      <c r="D46" s="9"/>
      <c r="E46" s="9"/>
      <c r="F46" s="8" t="str">
        <f>"Debt shown as nil in all three years; finance cost still ₹"&amp;TEXT('Raw Data'!C8,"#,##0")&amp;", ₹"&amp;TEXT('Raw Data'!D8,"#,##0")&amp;" and ₹"&amp;TEXT('Raw Data'!E8,"#,##0")&amp;" crore (nature not stated in the source)."</f>
        <v>Debt shown as nil in all three years; finance cost still ₹284, ₹470 and ₹416 crore (nature not stated in the source).</v>
      </c>
      <c r="G46" s="8"/>
      <c r="H46" s="8"/>
      <c r="I46" s="8"/>
      <c r="J46" s="8"/>
      <c r="K46" s="8"/>
      <c r="L46" s="8"/>
    </row>
    <row r="48" spans="1:12" x14ac:dyDescent="0.3">
      <c r="A48" s="12" t="s">
        <v>506</v>
      </c>
    </row>
  </sheetData>
  <mergeCells count="14">
    <mergeCell ref="C46:E46"/>
    <mergeCell ref="F46:L46"/>
    <mergeCell ref="C43:E43"/>
    <mergeCell ref="F43:L43"/>
    <mergeCell ref="C44:E44"/>
    <mergeCell ref="F44:L44"/>
    <mergeCell ref="C45:E45"/>
    <mergeCell ref="F45:L45"/>
    <mergeCell ref="C40:E40"/>
    <mergeCell ref="F40:L40"/>
    <mergeCell ref="C41:E41"/>
    <mergeCell ref="F41:L41"/>
    <mergeCell ref="C42:E42"/>
    <mergeCell ref="F42:L4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R78"/>
  <sheetViews>
    <sheetView showGridLines="0" topLeftCell="A69" zoomScaleNormal="100" workbookViewId="0">
      <selection activeCell="O6" sqref="O6"/>
    </sheetView>
  </sheetViews>
  <sheetFormatPr defaultColWidth="8.6640625" defaultRowHeight="14.4" x14ac:dyDescent="0.3"/>
  <cols>
    <col min="1" max="1" width="2" customWidth="1"/>
    <col min="2" max="13" width="13" customWidth="1"/>
    <col min="14" max="14" width="3" customWidth="1"/>
    <col min="15" max="15" width="44" customWidth="1"/>
    <col min="16" max="18" width="14" customWidth="1"/>
  </cols>
  <sheetData>
    <row r="1" spans="2:18" ht="30" customHeight="1" x14ac:dyDescent="0.3">
      <c r="B1" s="7" t="s">
        <v>507</v>
      </c>
      <c r="C1" s="7"/>
      <c r="D1" s="7"/>
      <c r="E1" s="7"/>
      <c r="F1" s="7"/>
      <c r="G1" s="7"/>
      <c r="H1" s="7"/>
      <c r="I1" s="7"/>
      <c r="J1" s="7"/>
      <c r="K1" s="7"/>
      <c r="L1" s="7"/>
      <c r="M1" s="7"/>
    </row>
    <row r="2" spans="2:18" ht="25.5" customHeight="1" x14ac:dyDescent="0.3">
      <c r="B2" s="6" t="s">
        <v>508</v>
      </c>
      <c r="C2" s="6"/>
      <c r="D2" s="6"/>
      <c r="E2" s="6"/>
      <c r="F2" s="6"/>
      <c r="G2" s="6"/>
      <c r="H2" s="6"/>
      <c r="I2" s="6"/>
      <c r="J2" s="6"/>
      <c r="K2" s="6"/>
      <c r="L2" s="6"/>
      <c r="M2" s="6"/>
    </row>
    <row r="4" spans="2:18" ht="27.75" customHeight="1" x14ac:dyDescent="0.3">
      <c r="B4" s="5" t="s">
        <v>509</v>
      </c>
      <c r="C4" s="5"/>
      <c r="D4" s="5"/>
      <c r="E4" s="5" t="s">
        <v>510</v>
      </c>
      <c r="F4" s="5"/>
      <c r="G4" s="5"/>
      <c r="H4" s="5" t="s">
        <v>511</v>
      </c>
      <c r="I4" s="5"/>
      <c r="J4" s="5"/>
      <c r="K4" s="5" t="s">
        <v>512</v>
      </c>
      <c r="L4" s="5"/>
      <c r="M4" s="5"/>
    </row>
    <row r="5" spans="2:18" ht="33.75" customHeight="1" x14ac:dyDescent="0.3">
      <c r="B5" s="86">
        <f>'Financial Calculations'!E51</f>
        <v>36835.74</v>
      </c>
      <c r="C5" s="86"/>
      <c r="D5" s="86"/>
      <c r="E5" s="87">
        <f>'Financial Calculations'!E55</f>
        <v>34598.74</v>
      </c>
      <c r="F5" s="87"/>
      <c r="G5" s="87"/>
      <c r="H5" s="87">
        <f>'Financial Calculations'!E11</f>
        <v>47996</v>
      </c>
      <c r="I5" s="87"/>
      <c r="J5" s="87"/>
      <c r="K5" s="88">
        <f>'Financial Calculations'!E30</f>
        <v>136.26106435605058</v>
      </c>
      <c r="L5" s="88"/>
      <c r="M5" s="88"/>
    </row>
    <row r="6" spans="2:18" ht="25.5" customHeight="1" x14ac:dyDescent="0.3">
      <c r="B6" s="4" t="str">
        <f>"Range ₹"&amp;TEXT('Financial Calculations'!E52,"#,##0")&amp;"–"&amp;TEXT('Financial Calculations'!E53,"#,##0")&amp;" cr (ratio "&amp;TEXT('Financial Calculations'!E50,"0.0%")&amp;" of revenue)"</f>
        <v>Range ₹36,754–36,917 cr (ratio 22.6% of revenue)</v>
      </c>
      <c r="C6" s="4"/>
      <c r="D6" s="4"/>
      <c r="E6" s="4" t="str">
        <f>"OCF less capex of ₹"&amp;TEXT('Financial Calculations'!E54,"#,##0")&amp;" cr; margin "&amp;TEXT('Financial Calculations'!E58,"0.0%")</f>
        <v>OCF less capex of ₹2,237 cr; margin 21.2%</v>
      </c>
      <c r="F6" s="4"/>
      <c r="G6" s="4"/>
      <c r="H6" s="4" t="str">
        <f>TEXT('Financial Calculations'!E15,"0.0%")&amp;" of total assets (company); debt nil"</f>
        <v>31.9% of total assets (company); debt nil</v>
      </c>
      <c r="I6" s="4"/>
      <c r="J6" s="4"/>
      <c r="K6" s="4" t="str">
        <f>"Cash alone: "&amp;TEXT('Financial Calculations'!E31,"0")&amp;" days; FY23: "&amp;TEXT('Financial Calculations'!C30,"0")&amp;" days"</f>
        <v>Cash alone: 69 days; FY23: 100 days</v>
      </c>
      <c r="L6" s="4"/>
      <c r="M6" s="4"/>
    </row>
    <row r="7" spans="2:18" x14ac:dyDescent="0.3">
      <c r="B7" s="57" t="s">
        <v>513</v>
      </c>
    </row>
    <row r="9" spans="2:18" ht="15" customHeight="1" x14ac:dyDescent="0.3">
      <c r="B9" s="82" t="s">
        <v>514</v>
      </c>
      <c r="C9" s="82"/>
      <c r="D9" s="82"/>
      <c r="E9" s="84" t="s">
        <v>439</v>
      </c>
      <c r="F9" s="84" t="s">
        <v>440</v>
      </c>
      <c r="G9" s="84" t="s">
        <v>441</v>
      </c>
      <c r="H9" s="82" t="s">
        <v>6</v>
      </c>
      <c r="I9" s="82"/>
      <c r="J9" s="82"/>
      <c r="K9" s="82"/>
      <c r="L9" s="82"/>
      <c r="M9" s="82"/>
      <c r="O9" s="85" t="s">
        <v>515</v>
      </c>
      <c r="P9" s="44" t="s">
        <v>439</v>
      </c>
      <c r="Q9" s="44" t="s">
        <v>440</v>
      </c>
      <c r="R9" s="44" t="s">
        <v>441</v>
      </c>
    </row>
    <row r="10" spans="2:18" x14ac:dyDescent="0.3">
      <c r="B10" s="3" t="s">
        <v>516</v>
      </c>
      <c r="C10" s="3"/>
      <c r="D10" s="3"/>
      <c r="E10" s="58">
        <f>'Financial Calculations'!C9</f>
        <v>12173</v>
      </c>
      <c r="F10" s="58">
        <f>'Financial Calculations'!D9</f>
        <v>14786</v>
      </c>
      <c r="G10" s="58">
        <f>'Financial Calculations'!E9</f>
        <v>24455</v>
      </c>
      <c r="H10" s="2" t="s">
        <v>34</v>
      </c>
      <c r="I10" s="2"/>
      <c r="J10" s="2"/>
      <c r="K10" s="2"/>
      <c r="L10" s="2"/>
      <c r="M10" s="2"/>
      <c r="O10" s="59" t="s">
        <v>67</v>
      </c>
      <c r="P10" s="60">
        <f t="shared" ref="P10:R11" si="0">E10</f>
        <v>12173</v>
      </c>
      <c r="Q10" s="60">
        <f t="shared" si="0"/>
        <v>14786</v>
      </c>
      <c r="R10" s="60">
        <f t="shared" si="0"/>
        <v>24455</v>
      </c>
    </row>
    <row r="11" spans="2:18" x14ac:dyDescent="0.3">
      <c r="B11" s="3" t="s">
        <v>517</v>
      </c>
      <c r="C11" s="3"/>
      <c r="D11" s="3"/>
      <c r="E11" s="58">
        <f>'Financial Calculations'!C10</f>
        <v>19478</v>
      </c>
      <c r="F11" s="58">
        <f>'Financial Calculations'!D10</f>
        <v>24623</v>
      </c>
      <c r="G11" s="58">
        <f>'Financial Calculations'!E10</f>
        <v>23541</v>
      </c>
      <c r="H11" s="2" t="s">
        <v>34</v>
      </c>
      <c r="I11" s="2"/>
      <c r="J11" s="2"/>
      <c r="K11" s="2"/>
      <c r="L11" s="2"/>
      <c r="M11" s="2"/>
      <c r="O11" s="59" t="s">
        <v>190</v>
      </c>
      <c r="P11" s="60">
        <f t="shared" si="0"/>
        <v>19478</v>
      </c>
      <c r="Q11" s="60">
        <f t="shared" si="0"/>
        <v>24623</v>
      </c>
      <c r="R11" s="60">
        <f t="shared" si="0"/>
        <v>23541</v>
      </c>
    </row>
    <row r="12" spans="2:18" x14ac:dyDescent="0.3">
      <c r="B12" s="3" t="s">
        <v>518</v>
      </c>
      <c r="C12" s="3"/>
      <c r="D12" s="3"/>
      <c r="E12" s="58">
        <f>'Financial Calculations'!C11</f>
        <v>31651</v>
      </c>
      <c r="F12" s="58">
        <f>'Financial Calculations'!D11</f>
        <v>39409</v>
      </c>
      <c r="G12" s="58">
        <f>'Financial Calculations'!E11</f>
        <v>47996</v>
      </c>
      <c r="H12" s="2" t="s">
        <v>195</v>
      </c>
      <c r="I12" s="2"/>
      <c r="J12" s="2"/>
      <c r="K12" s="2"/>
      <c r="L12" s="2"/>
      <c r="M12" s="2"/>
      <c r="O12" s="59" t="s">
        <v>519</v>
      </c>
      <c r="P12" s="60">
        <f t="shared" ref="P12:R19" si="1">E13</f>
        <v>23042.419000000002</v>
      </c>
      <c r="Q12" s="60">
        <f t="shared" si="1"/>
        <v>26123.9</v>
      </c>
      <c r="R12" s="60">
        <f t="shared" si="1"/>
        <v>36835.74</v>
      </c>
    </row>
    <row r="13" spans="2:18" x14ac:dyDescent="0.3">
      <c r="B13" s="3" t="s">
        <v>520</v>
      </c>
      <c r="C13" s="3"/>
      <c r="D13" s="3"/>
      <c r="E13" s="61">
        <f>'Financial Calculations'!C51</f>
        <v>23042.419000000002</v>
      </c>
      <c r="F13" s="61">
        <f>'Financial Calculations'!D51</f>
        <v>26123.9</v>
      </c>
      <c r="G13" s="61">
        <f>'Financial Calculations'!E51</f>
        <v>36835.74</v>
      </c>
      <c r="H13" s="1" t="s">
        <v>521</v>
      </c>
      <c r="I13" s="1"/>
      <c r="J13" s="1"/>
      <c r="K13" s="1"/>
      <c r="L13" s="1"/>
      <c r="M13" s="1"/>
      <c r="O13" s="59" t="s">
        <v>64</v>
      </c>
      <c r="P13" s="60">
        <f t="shared" si="1"/>
        <v>2579</v>
      </c>
      <c r="Q13" s="60">
        <f t="shared" si="1"/>
        <v>2201</v>
      </c>
      <c r="R13" s="60">
        <f t="shared" si="1"/>
        <v>2237</v>
      </c>
    </row>
    <row r="14" spans="2:18" x14ac:dyDescent="0.3">
      <c r="B14" s="3" t="s">
        <v>522</v>
      </c>
      <c r="C14" s="3"/>
      <c r="D14" s="3"/>
      <c r="E14" s="58">
        <f>'Financial Calculations'!C34</f>
        <v>2579</v>
      </c>
      <c r="F14" s="58">
        <f>'Financial Calculations'!D34</f>
        <v>2201</v>
      </c>
      <c r="G14" s="58">
        <f>'Financial Calculations'!E34</f>
        <v>2237</v>
      </c>
      <c r="H14" s="2" t="s">
        <v>34</v>
      </c>
      <c r="I14" s="2"/>
      <c r="J14" s="2"/>
      <c r="K14" s="2"/>
      <c r="L14" s="2"/>
      <c r="M14" s="2"/>
      <c r="O14" s="59" t="s">
        <v>523</v>
      </c>
      <c r="P14" s="60">
        <f t="shared" si="1"/>
        <v>20463.419000000002</v>
      </c>
      <c r="Q14" s="60">
        <f t="shared" si="1"/>
        <v>23922.9</v>
      </c>
      <c r="R14" s="60">
        <f t="shared" si="1"/>
        <v>34598.74</v>
      </c>
    </row>
    <row r="15" spans="2:18" x14ac:dyDescent="0.3">
      <c r="B15" s="3" t="s">
        <v>524</v>
      </c>
      <c r="C15" s="3"/>
      <c r="D15" s="3"/>
      <c r="E15" s="61">
        <f>'Financial Calculations'!C55</f>
        <v>20463.419000000002</v>
      </c>
      <c r="F15" s="61">
        <f>'Financial Calculations'!D55</f>
        <v>23922.9</v>
      </c>
      <c r="G15" s="61">
        <f>'Financial Calculations'!E55</f>
        <v>34598.74</v>
      </c>
      <c r="H15" s="1" t="s">
        <v>525</v>
      </c>
      <c r="I15" s="1"/>
      <c r="J15" s="1"/>
      <c r="K15" s="1"/>
      <c r="L15" s="1"/>
      <c r="M15" s="1"/>
      <c r="O15" s="59" t="s">
        <v>526</v>
      </c>
      <c r="P15" s="62">
        <f t="shared" si="1"/>
        <v>0.157</v>
      </c>
      <c r="Q15" s="62">
        <f t="shared" si="1"/>
        <v>0.17</v>
      </c>
      <c r="R15" s="62">
        <f t="shared" si="1"/>
        <v>0.22600000000000001</v>
      </c>
    </row>
    <row r="16" spans="2:18" x14ac:dyDescent="0.3">
      <c r="B16" s="3" t="s">
        <v>526</v>
      </c>
      <c r="C16" s="3"/>
      <c r="D16" s="3"/>
      <c r="E16" s="63">
        <f>'Financial Calculations'!C50</f>
        <v>0.157</v>
      </c>
      <c r="F16" s="63">
        <f>'Financial Calculations'!D50</f>
        <v>0.17</v>
      </c>
      <c r="G16" s="63">
        <f>'Financial Calculations'!E50</f>
        <v>0.22600000000000001</v>
      </c>
      <c r="H16" s="2" t="s">
        <v>83</v>
      </c>
      <c r="I16" s="2"/>
      <c r="J16" s="2"/>
      <c r="K16" s="2"/>
      <c r="L16" s="2"/>
      <c r="M16" s="2"/>
      <c r="O16" s="59" t="s">
        <v>527</v>
      </c>
      <c r="P16" s="62">
        <f t="shared" si="1"/>
        <v>0.249</v>
      </c>
      <c r="Q16" s="62">
        <f t="shared" si="1"/>
        <v>0.28299999999999997</v>
      </c>
      <c r="R16" s="62">
        <f t="shared" si="1"/>
        <v>0.31900000000000001</v>
      </c>
    </row>
    <row r="17" spans="2:18" x14ac:dyDescent="0.3">
      <c r="B17" s="3" t="s">
        <v>527</v>
      </c>
      <c r="C17" s="3"/>
      <c r="D17" s="3"/>
      <c r="E17" s="63">
        <f>'Financial Calculations'!C15</f>
        <v>0.249</v>
      </c>
      <c r="F17" s="63">
        <f>'Financial Calculations'!D15</f>
        <v>0.28299999999999997</v>
      </c>
      <c r="G17" s="63">
        <f>'Financial Calculations'!E15</f>
        <v>0.31900000000000001</v>
      </c>
      <c r="H17" s="2" t="s">
        <v>528</v>
      </c>
      <c r="I17" s="2"/>
      <c r="J17" s="2"/>
      <c r="K17" s="2"/>
      <c r="L17" s="2"/>
      <c r="M17" s="2"/>
      <c r="O17" s="59" t="s">
        <v>529</v>
      </c>
      <c r="P17" s="62">
        <f t="shared" si="1"/>
        <v>0.21299999999999999</v>
      </c>
      <c r="Q17" s="62">
        <f t="shared" si="1"/>
        <v>0.254</v>
      </c>
      <c r="R17" s="62">
        <f t="shared" si="1"/>
        <v>0.29199999999999998</v>
      </c>
    </row>
    <row r="18" spans="2:18" x14ac:dyDescent="0.3">
      <c r="B18" s="3" t="s">
        <v>529</v>
      </c>
      <c r="C18" s="3"/>
      <c r="D18" s="3"/>
      <c r="E18" s="63">
        <f>'Financial Calculations'!C18</f>
        <v>0.21299999999999999</v>
      </c>
      <c r="F18" s="63">
        <f>'Financial Calculations'!D18</f>
        <v>0.254</v>
      </c>
      <c r="G18" s="63">
        <f>'Financial Calculations'!E18</f>
        <v>0.29199999999999998</v>
      </c>
      <c r="H18" s="2" t="s">
        <v>528</v>
      </c>
      <c r="I18" s="2"/>
      <c r="J18" s="2"/>
      <c r="K18" s="2"/>
      <c r="L18" s="2"/>
      <c r="M18" s="2"/>
      <c r="O18" s="59" t="s">
        <v>530</v>
      </c>
      <c r="P18" s="64">
        <f t="shared" si="1"/>
        <v>99.710129291743627</v>
      </c>
      <c r="Q18" s="64">
        <f t="shared" si="1"/>
        <v>117.97843721037049</v>
      </c>
      <c r="R18" s="64">
        <f t="shared" si="1"/>
        <v>136.26106435605058</v>
      </c>
    </row>
    <row r="19" spans="2:18" x14ac:dyDescent="0.3">
      <c r="B19" s="3" t="s">
        <v>261</v>
      </c>
      <c r="C19" s="3"/>
      <c r="D19" s="3"/>
      <c r="E19" s="65">
        <f>'Financial Calculations'!C30</f>
        <v>99.710129291743627</v>
      </c>
      <c r="F19" s="65">
        <f>'Financial Calculations'!D30</f>
        <v>117.97843721037049</v>
      </c>
      <c r="G19" s="65">
        <f>'Financial Calculations'!E30</f>
        <v>136.26106435605058</v>
      </c>
      <c r="H19" s="2" t="s">
        <v>195</v>
      </c>
      <c r="I19" s="2"/>
      <c r="J19" s="2"/>
      <c r="K19" s="2"/>
      <c r="L19" s="2"/>
      <c r="M19" s="2"/>
      <c r="O19" s="59" t="s">
        <v>72</v>
      </c>
      <c r="P19" s="60">
        <f t="shared" si="1"/>
        <v>31695</v>
      </c>
      <c r="Q19" s="60">
        <f t="shared" si="1"/>
        <v>50638</v>
      </c>
      <c r="R19" s="60">
        <f t="shared" si="1"/>
        <v>54249</v>
      </c>
    </row>
    <row r="20" spans="2:18" x14ac:dyDescent="0.3">
      <c r="B20" s="3" t="s">
        <v>531</v>
      </c>
      <c r="C20" s="3"/>
      <c r="D20" s="3"/>
      <c r="E20" s="58">
        <f>'Financial Calculations'!C21</f>
        <v>31695</v>
      </c>
      <c r="F20" s="58">
        <f>'Financial Calculations'!D21</f>
        <v>50638</v>
      </c>
      <c r="G20" s="58">
        <f>'Financial Calculations'!E21</f>
        <v>54249</v>
      </c>
      <c r="H20" s="2" t="s">
        <v>34</v>
      </c>
      <c r="I20" s="2"/>
      <c r="J20" s="2"/>
      <c r="K20" s="2"/>
      <c r="L20" s="2"/>
      <c r="M20" s="2"/>
    </row>
    <row r="22" spans="2:18" x14ac:dyDescent="0.3">
      <c r="B22" s="45" t="s">
        <v>532</v>
      </c>
      <c r="O22" s="85" t="s">
        <v>533</v>
      </c>
      <c r="P22" s="44" t="s">
        <v>440</v>
      </c>
      <c r="Q22" s="44" t="s">
        <v>441</v>
      </c>
    </row>
    <row r="23" spans="2:18" ht="30" customHeight="1" x14ac:dyDescent="0.3">
      <c r="B23" s="74" t="str">
        <f>"1. Cash generation "&amp;IF('Financial Calculations'!E50&gt;'Financial Calculations'!C50,"strengthened","weakened")&amp;": operating cash flow ÷ revenue went "&amp;TEXT('Financial Calculations'!C50,"0.0%")&amp;" → "&amp;TEXT('Financial Calculations'!D50,"0.0%")&amp;" → "&amp;TEXT('Financial Calculations'!E50,"0.0%")&amp;" (derived OCF about ₹"&amp;TEXT('Financial Calculations'!C51,"#,##0")&amp;" → ₹"&amp;TEXT('Financial Calculations'!E51,"#,##0")&amp;" crore; rounding range about ±₹"&amp;TEXT('Financial Calculations'!$C$6*'Raw Data'!E6,"#,##0")&amp;" crore in FY25)."</f>
        <v>1. Cash generation strengthened: operating cash flow ÷ revenue went 15.7% → 17.0% → 22.6% (derived OCF about ₹23,042 → ₹36,836 crore; rounding range about ±₹81 crore in FY25).</v>
      </c>
      <c r="C23" s="74"/>
      <c r="D23" s="74"/>
      <c r="E23" s="74"/>
      <c r="F23" s="74"/>
      <c r="G23" s="74"/>
      <c r="H23" s="74"/>
      <c r="I23" s="74"/>
      <c r="J23" s="74"/>
      <c r="K23" s="74"/>
      <c r="L23" s="74"/>
      <c r="M23" s="74"/>
      <c r="O23" s="59" t="s">
        <v>523</v>
      </c>
      <c r="P23" s="60">
        <f>'Financial Calculations'!D55</f>
        <v>23922.9</v>
      </c>
      <c r="Q23" s="60">
        <f>'Financial Calculations'!E55</f>
        <v>34598.74</v>
      </c>
    </row>
    <row r="24" spans="2:18" ht="30" customHeight="1" x14ac:dyDescent="0.3">
      <c r="B24" s="74" t="str">
        <f>"2. Free cash flow (derived) was about ₹"&amp;TEXT('Financial Calculations'!E55,"#,##0")&amp;" crore in FY25 against ₹"&amp;TEXT('Financial Calculations'!C55,"#,##0")&amp;" crore in FY23; capex stayed small at "&amp;TEXT('Financial Calculations'!E35,"0.0%")&amp;" of revenue (FY23: "&amp;TEXT('Financial Calculations'!C35,"0.0%")&amp;")."</f>
        <v>2. Free cash flow (derived) was about ₹34,599 crore in FY25 against ₹20,463 crore in FY23; capex stayed small at 1.4% of revenue (FY23: 1.8%).</v>
      </c>
      <c r="C24" s="74"/>
      <c r="D24" s="74"/>
      <c r="E24" s="74"/>
      <c r="F24" s="74"/>
      <c r="G24" s="74"/>
      <c r="H24" s="74"/>
      <c r="I24" s="74"/>
      <c r="J24" s="74"/>
      <c r="K24" s="74"/>
      <c r="L24" s="74"/>
      <c r="M24" s="74"/>
      <c r="O24" s="59" t="s">
        <v>534</v>
      </c>
      <c r="P24" s="60">
        <f>'Financial Calculations'!D63</f>
        <v>7758</v>
      </c>
      <c r="Q24" s="60">
        <f>'Financial Calculations'!E63</f>
        <v>8587</v>
      </c>
    </row>
    <row r="25" spans="2:18" ht="30" customHeight="1" x14ac:dyDescent="0.3">
      <c r="B25" s="74" t="str">
        <f>"3. The liquidity pool grew: cash + investments reached ₹"&amp;TEXT('Financial Calculations'!E11,"#,##0")&amp;" crore ("&amp;TEXT('Financial Calculations'!E15,"0.0%")&amp;" of total assets, up from "&amp;TEXT('Financial Calculations'!C15,"0.0%")&amp;"), covering about "&amp;TEXT('Financial Calculations'!E30,"0")&amp;" days of operating costs (FY23: "&amp;TEXT('Financial Calculations'!C30,"0")&amp;"). Debt is nil."</f>
        <v>3. The liquidity pool grew: cash + investments reached ₹47,996 crore (31.9% of total assets, up from 24.9%), covering about 136 days of operating costs (FY23: 100). Debt is nil.</v>
      </c>
      <c r="C25" s="74"/>
      <c r="D25" s="74"/>
      <c r="E25" s="74"/>
      <c r="F25" s="74"/>
      <c r="G25" s="74"/>
      <c r="H25" s="74"/>
      <c r="I25" s="74"/>
      <c r="J25" s="74"/>
      <c r="K25" s="74"/>
      <c r="L25" s="74"/>
      <c r="M25" s="74"/>
      <c r="O25" s="59" t="s">
        <v>535</v>
      </c>
      <c r="P25" s="60">
        <f>'Financial Calculations'!D64</f>
        <v>16164.900000000001</v>
      </c>
      <c r="Q25" s="60">
        <f>'Financial Calculations'!E64</f>
        <v>26011.739999999998</v>
      </c>
    </row>
    <row r="26" spans="2:18" ht="30" customHeight="1" x14ac:dyDescent="0.3">
      <c r="B26" s="74" t="str">
        <f>"4. Composition shifted toward cash on hand: cash and equivalents were "&amp;TEXT('Financial Calculations'!E13,"0%")&amp;" of the pool in FY25 versus "&amp;TEXT('Financial Calculations'!D13,"0%")&amp;" in FY24, as investments edged down."</f>
        <v>4. Composition shifted toward cash on hand: cash and equivalents were 51% of the pool in FY25 versus 38% in FY24, as investments edged down.</v>
      </c>
      <c r="C26" s="74"/>
      <c r="D26" s="74"/>
      <c r="E26" s="74"/>
      <c r="F26" s="74"/>
      <c r="G26" s="74"/>
      <c r="H26" s="74"/>
      <c r="I26" s="74"/>
      <c r="J26" s="74"/>
      <c r="K26" s="74"/>
      <c r="L26" s="74"/>
      <c r="M26" s="74"/>
    </row>
    <row r="27" spans="2:18" ht="30" customHeight="1" x14ac:dyDescent="0.3">
      <c r="B27" s="74" t="str">
        <f>"5. Cash did not simply accumulate: derived FCF exceeded the rise in cash + investments by about ₹"&amp;TEXT('Financial Calculations'!E64,"#,##0")&amp;" crore in FY25 (FY24: ₹"&amp;TEXT('Financial Calculations'!D64,"#,##0")&amp;" crore). The source does not itemise where it went."</f>
        <v>5. Cash did not simply accumulate: derived FCF exceeded the rise in cash + investments by about ₹26,012 crore in FY25 (FY24: ₹16,165 crore). The source does not itemise where it went.</v>
      </c>
      <c r="C27" s="74"/>
      <c r="D27" s="74"/>
      <c r="E27" s="74"/>
      <c r="F27" s="74"/>
      <c r="G27" s="74"/>
      <c r="H27" s="74"/>
      <c r="I27" s="74"/>
      <c r="J27" s="74"/>
      <c r="K27" s="74"/>
      <c r="L27" s="74"/>
      <c r="M27" s="74"/>
    </row>
    <row r="28" spans="2:18" ht="30" customHeight="1" x14ac:dyDescent="0.3">
      <c r="B28" s="74" t="str">
        <f>"6. Limits: the source has no current assets, current liabilities or cash-flow statement in ₹, so the current ratio, cash ratio and OCF ratio are not calculated. OCF and FCF are approximations."</f>
        <v>6. Limits: the source has no current assets, current liabilities or cash-flow statement in ₹, so the current ratio, cash ratio and OCF ratio are not calculated. OCF and FCF are approximations.</v>
      </c>
      <c r="C28" s="74"/>
      <c r="D28" s="74"/>
      <c r="E28" s="74"/>
      <c r="F28" s="74"/>
      <c r="G28" s="74"/>
      <c r="H28" s="74"/>
      <c r="I28" s="74"/>
      <c r="J28" s="74"/>
      <c r="K28" s="74"/>
      <c r="L28" s="74"/>
      <c r="M28" s="74"/>
    </row>
    <row r="78" spans="2:2" x14ac:dyDescent="0.3">
      <c r="B78" s="57" t="s">
        <v>536</v>
      </c>
    </row>
  </sheetData>
  <mergeCells count="44">
    <mergeCell ref="B28:M28"/>
    <mergeCell ref="B23:M23"/>
    <mergeCell ref="B24:M24"/>
    <mergeCell ref="B25:M25"/>
    <mergeCell ref="B26:M26"/>
    <mergeCell ref="B27:M27"/>
    <mergeCell ref="B18:D18"/>
    <mergeCell ref="H18:M18"/>
    <mergeCell ref="B19:D19"/>
    <mergeCell ref="H19:M19"/>
    <mergeCell ref="B20:D20"/>
    <mergeCell ref="H20:M20"/>
    <mergeCell ref="B15:D15"/>
    <mergeCell ref="H15:M15"/>
    <mergeCell ref="B16:D16"/>
    <mergeCell ref="H16:M16"/>
    <mergeCell ref="B17:D17"/>
    <mergeCell ref="H17:M17"/>
    <mergeCell ref="B12:D12"/>
    <mergeCell ref="H12:M12"/>
    <mergeCell ref="B13:D13"/>
    <mergeCell ref="H13:M13"/>
    <mergeCell ref="B14:D14"/>
    <mergeCell ref="H14:M14"/>
    <mergeCell ref="B9:D9"/>
    <mergeCell ref="H9:M9"/>
    <mergeCell ref="B10:D10"/>
    <mergeCell ref="H10:M10"/>
    <mergeCell ref="B11:D11"/>
    <mergeCell ref="H11:M11"/>
    <mergeCell ref="B5:D5"/>
    <mergeCell ref="E5:G5"/>
    <mergeCell ref="H5:J5"/>
    <mergeCell ref="K5:M5"/>
    <mergeCell ref="B6:D6"/>
    <mergeCell ref="E6:G6"/>
    <mergeCell ref="H6:J6"/>
    <mergeCell ref="K6:M6"/>
    <mergeCell ref="B1:M1"/>
    <mergeCell ref="B2:M2"/>
    <mergeCell ref="B4:D4"/>
    <mergeCell ref="E4:G4"/>
    <mergeCell ref="H4:J4"/>
    <mergeCell ref="K4:M4"/>
  </mergeCells>
  <pageMargins left="0.75" right="0.75" top="1" bottom="1" header="0.511811023622047" footer="0.511811023622047"/>
  <pageSetup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showGridLines="0" tabSelected="1" topLeftCell="A13" zoomScaleNormal="100" workbookViewId="0">
      <selection activeCell="B45" sqref="B45:H45"/>
    </sheetView>
  </sheetViews>
  <sheetFormatPr defaultColWidth="8.6640625" defaultRowHeight="14.4" x14ac:dyDescent="0.3"/>
  <cols>
    <col min="1" max="1" width="6" customWidth="1"/>
    <col min="2" max="2" width="70" customWidth="1"/>
    <col min="3" max="6" width="14" customWidth="1"/>
    <col min="7" max="7" width="12" customWidth="1"/>
    <col min="8" max="8" width="58" customWidth="1"/>
  </cols>
  <sheetData>
    <row r="1" spans="1:8" ht="19.2" x14ac:dyDescent="0.35">
      <c r="A1" s="11" t="s">
        <v>537</v>
      </c>
    </row>
    <row r="2" spans="1:8" x14ac:dyDescent="0.3">
      <c r="A2" s="12" t="s">
        <v>538</v>
      </c>
    </row>
    <row r="4" spans="1:8" x14ac:dyDescent="0.3">
      <c r="B4" s="89" t="s">
        <v>539</v>
      </c>
      <c r="C4" s="75" t="str">
        <f>IF(COUNTIF(G14:G36,"CHECK")=0,"ALL PASS ("&amp;COUNTIF(G14:G36,"PASS")&amp;" checks)","REVIEW: "&amp;COUNTIF(G14:G36,"CHECK")&amp;" failing")</f>
        <v>ALL PASS (23 checks)</v>
      </c>
      <c r="D4" s="75"/>
      <c r="E4" s="75"/>
    </row>
    <row r="6" spans="1:8" x14ac:dyDescent="0.3">
      <c r="A6" s="89" t="s">
        <v>540</v>
      </c>
    </row>
    <row r="7" spans="1:8" ht="21.75" customHeight="1" x14ac:dyDescent="0.3">
      <c r="A7" s="80" t="s">
        <v>541</v>
      </c>
      <c r="B7" s="80" t="s">
        <v>542</v>
      </c>
      <c r="C7" s="80" t="s">
        <v>543</v>
      </c>
      <c r="D7" s="80"/>
      <c r="E7" s="80"/>
      <c r="F7" s="80"/>
      <c r="G7" s="80"/>
      <c r="H7" s="80" t="s">
        <v>544</v>
      </c>
    </row>
    <row r="8" spans="1:8" ht="39.75" customHeight="1" x14ac:dyDescent="0.3">
      <c r="A8" s="17" t="s">
        <v>545</v>
      </c>
      <c r="B8" s="29" t="s">
        <v>546</v>
      </c>
      <c r="C8" s="66">
        <v>7</v>
      </c>
      <c r="H8" s="20" t="s">
        <v>547</v>
      </c>
    </row>
    <row r="9" spans="1:8" ht="30" customHeight="1" x14ac:dyDescent="0.3">
      <c r="B9" s="8" t="s">
        <v>548</v>
      </c>
      <c r="C9" s="8"/>
      <c r="D9" s="8"/>
      <c r="E9" s="8"/>
      <c r="F9" s="8"/>
      <c r="G9" s="8"/>
      <c r="H9" s="8"/>
    </row>
    <row r="10" spans="1:8" ht="27.75" customHeight="1" x14ac:dyDescent="0.3">
      <c r="B10" s="76" t="s">
        <v>549</v>
      </c>
      <c r="C10" s="76"/>
      <c r="D10" s="76"/>
      <c r="E10" s="76"/>
      <c r="F10" s="76"/>
      <c r="G10" s="76"/>
      <c r="H10" s="76"/>
    </row>
    <row r="12" spans="1:8" x14ac:dyDescent="0.3">
      <c r="A12" s="89" t="s">
        <v>550</v>
      </c>
    </row>
    <row r="13" spans="1:8" ht="24" customHeight="1" x14ac:dyDescent="0.3">
      <c r="A13" s="80" t="s">
        <v>490</v>
      </c>
      <c r="B13" s="80" t="s">
        <v>217</v>
      </c>
      <c r="C13" s="80" t="s">
        <v>439</v>
      </c>
      <c r="D13" s="80" t="s">
        <v>440</v>
      </c>
      <c r="E13" s="80" t="s">
        <v>441</v>
      </c>
      <c r="F13" s="80" t="s">
        <v>551</v>
      </c>
      <c r="G13" s="80" t="s">
        <v>552</v>
      </c>
      <c r="H13" s="80" t="s">
        <v>553</v>
      </c>
    </row>
    <row r="14" spans="1:8" ht="25.5" customHeight="1" x14ac:dyDescent="0.3">
      <c r="A14" s="19">
        <v>1</v>
      </c>
      <c r="B14" s="67" t="s">
        <v>554</v>
      </c>
      <c r="C14" s="68">
        <f>'Raw Data'!C9-'Raw Data'!C10-'Raw Data'!C11</f>
        <v>0</v>
      </c>
      <c r="D14" s="68">
        <f>'Raw Data'!D9-'Raw Data'!D10-'Raw Data'!D11</f>
        <v>0</v>
      </c>
      <c r="E14" s="68">
        <f>'Raw Data'!E9-'Raw Data'!E10-'Raw Data'!E11</f>
        <v>0</v>
      </c>
      <c r="F14" s="69">
        <v>0.5</v>
      </c>
      <c r="G14" s="49" t="str">
        <f t="shared" ref="G14:G36" si="0">IFERROR(IF(COUNT(C14:E14)&lt;&gt;3,"CHECK",IF(MAX(MAX(C14:E14),-MIN(C14:E14))&lt;=F14,"PASS","CHECK")),"CHECK")</f>
        <v>PASS</v>
      </c>
      <c r="H14" s="20" t="s">
        <v>555</v>
      </c>
    </row>
    <row r="15" spans="1:8" ht="25.5" customHeight="1" x14ac:dyDescent="0.3">
      <c r="A15" s="19">
        <v>2</v>
      </c>
      <c r="B15" s="67" t="s">
        <v>556</v>
      </c>
      <c r="C15" s="68">
        <f>'Raw Data'!C11-'Raw Data'!C12-'Raw Data'!C13</f>
        <v>0</v>
      </c>
      <c r="D15" s="68">
        <f>'Raw Data'!D11-'Raw Data'!D12-'Raw Data'!D13</f>
        <v>0</v>
      </c>
      <c r="E15" s="68">
        <f>'Raw Data'!E11-'Raw Data'!E12-'Raw Data'!E13</f>
        <v>0</v>
      </c>
      <c r="F15" s="69">
        <v>0.5</v>
      </c>
      <c r="G15" s="49" t="str">
        <f t="shared" si="0"/>
        <v>PASS</v>
      </c>
      <c r="H15" s="20" t="s">
        <v>557</v>
      </c>
    </row>
    <row r="16" spans="1:8" ht="25.5" customHeight="1" x14ac:dyDescent="0.3">
      <c r="A16" s="19">
        <v>3</v>
      </c>
      <c r="B16" s="67" t="s">
        <v>558</v>
      </c>
      <c r="C16" s="68">
        <f>'Raw Data'!C6-'Raw Data'!C48</f>
        <v>0</v>
      </c>
      <c r="D16" s="68">
        <f>'Raw Data'!D6-'Raw Data'!D48</f>
        <v>0</v>
      </c>
      <c r="E16" s="68">
        <f>'Raw Data'!E6-'Raw Data'!E48</f>
        <v>0</v>
      </c>
      <c r="F16" s="69">
        <v>0.5</v>
      </c>
      <c r="G16" s="49" t="str">
        <f t="shared" si="0"/>
        <v>PASS</v>
      </c>
      <c r="H16" s="20" t="s">
        <v>559</v>
      </c>
    </row>
    <row r="17" spans="1:8" ht="25.5" customHeight="1" x14ac:dyDescent="0.3">
      <c r="A17" s="19">
        <v>4</v>
      </c>
      <c r="B17" s="67" t="s">
        <v>560</v>
      </c>
      <c r="C17" s="68">
        <f>'Raw Data'!C11-'Raw Data'!C49</f>
        <v>0</v>
      </c>
      <c r="D17" s="68">
        <f>'Raw Data'!D11-'Raw Data'!D49</f>
        <v>0</v>
      </c>
      <c r="E17" s="68">
        <f>'Raw Data'!E11-'Raw Data'!E49</f>
        <v>0</v>
      </c>
      <c r="F17" s="69">
        <v>0.5</v>
      </c>
      <c r="G17" s="49" t="str">
        <f t="shared" si="0"/>
        <v>PASS</v>
      </c>
      <c r="H17" s="20" t="s">
        <v>559</v>
      </c>
    </row>
    <row r="18" spans="1:8" ht="25.5" customHeight="1" x14ac:dyDescent="0.3">
      <c r="A18" s="19">
        <v>5</v>
      </c>
      <c r="B18" s="67" t="s">
        <v>561</v>
      </c>
      <c r="C18" s="68">
        <f>'Raw Data'!C9-('Raw Data'!C7+'Raw Data'!C31*'Raw Data'!C6-'Raw Data'!C8)</f>
        <v>59.194000000003143</v>
      </c>
      <c r="D18" s="68">
        <f>'Raw Data'!D9-('Raw Data'!D7+'Raw Data'!D31*'Raw Data'!D6-'Raw Data'!D8)</f>
        <v>-52.769999999996799</v>
      </c>
      <c r="E18" s="68">
        <f>'Raw Data'!E9-('Raw Data'!E7+'Raw Data'!E31*'Raw Data'!E6-'Raw Data'!E8)</f>
        <v>14.220000000001164</v>
      </c>
      <c r="F18" s="70">
        <f>'Financial Calculations'!$C$6*MAX('Raw Data'!$C$6:$E$6)</f>
        <v>81.495000000000005</v>
      </c>
      <c r="G18" s="49" t="str">
        <f t="shared" si="0"/>
        <v>PASS</v>
      </c>
      <c r="H18" s="20" t="s">
        <v>562</v>
      </c>
    </row>
    <row r="19" spans="1:8" ht="25.5" customHeight="1" x14ac:dyDescent="0.3">
      <c r="A19" s="19">
        <v>6</v>
      </c>
      <c r="B19" s="67" t="s">
        <v>563</v>
      </c>
      <c r="C19" s="71">
        <f>ROUND('Raw Data'!C7/'Raw Data'!C6,3)-'Raw Data'!C30</f>
        <v>0</v>
      </c>
      <c r="D19" s="71">
        <f>ROUND('Raw Data'!D7/'Raw Data'!D6,3)-'Raw Data'!D30</f>
        <v>0</v>
      </c>
      <c r="E19" s="71">
        <f>ROUND('Raw Data'!E7/'Raw Data'!E6,3)-'Raw Data'!E30</f>
        <v>0</v>
      </c>
      <c r="F19" s="69">
        <v>9.9999999999999995E-7</v>
      </c>
      <c r="G19" s="49" t="str">
        <f t="shared" si="0"/>
        <v>PASS</v>
      </c>
      <c r="H19" s="20" t="s">
        <v>564</v>
      </c>
    </row>
    <row r="20" spans="1:8" ht="25.5" customHeight="1" x14ac:dyDescent="0.3">
      <c r="A20" s="19">
        <v>7</v>
      </c>
      <c r="B20" s="67" t="s">
        <v>565</v>
      </c>
      <c r="C20" s="71">
        <f>ROUND('Raw Data'!C11/'Raw Data'!C6,3)-'Raw Data'!C35</f>
        <v>0</v>
      </c>
      <c r="D20" s="71">
        <f>ROUND('Raw Data'!D11/'Raw Data'!D6,3)-'Raw Data'!D35</f>
        <v>0</v>
      </c>
      <c r="E20" s="71">
        <f>ROUND('Raw Data'!E11/'Raw Data'!E6,3)-'Raw Data'!E35</f>
        <v>0</v>
      </c>
      <c r="F20" s="69">
        <v>9.9999999999999995E-7</v>
      </c>
      <c r="G20" s="49" t="str">
        <f t="shared" si="0"/>
        <v>PASS</v>
      </c>
      <c r="H20" s="20" t="s">
        <v>566</v>
      </c>
    </row>
    <row r="21" spans="1:8" ht="25.5" customHeight="1" x14ac:dyDescent="0.3">
      <c r="A21" s="19">
        <v>8</v>
      </c>
      <c r="B21" s="67" t="s">
        <v>567</v>
      </c>
      <c r="C21" s="71">
        <f>ROUND('Raw Data'!C10/'Raw Data'!C9,3)-'Raw Data'!C34</f>
        <v>0</v>
      </c>
      <c r="D21" s="71">
        <f>ROUND('Raw Data'!D10/'Raw Data'!D9,3)-'Raw Data'!D34</f>
        <v>0</v>
      </c>
      <c r="E21" s="71">
        <f>ROUND('Raw Data'!E10/'Raw Data'!E9,3)-'Raw Data'!E34</f>
        <v>0</v>
      </c>
      <c r="F21" s="69">
        <v>9.9999999999999995E-7</v>
      </c>
      <c r="G21" s="49" t="str">
        <f t="shared" si="0"/>
        <v>PASS</v>
      </c>
      <c r="H21" s="20" t="s">
        <v>566</v>
      </c>
    </row>
    <row r="22" spans="1:8" ht="25.5" customHeight="1" x14ac:dyDescent="0.3">
      <c r="A22" s="19">
        <v>9</v>
      </c>
      <c r="B22" s="67" t="s">
        <v>568</v>
      </c>
      <c r="C22" s="71">
        <f>ROUND('Raw Data'!C10/'Raw Data'!C6,3)-'Raw Data'!C33</f>
        <v>0</v>
      </c>
      <c r="D22" s="71">
        <f>ROUND('Raw Data'!D10/'Raw Data'!D6,3)-'Raw Data'!D33</f>
        <v>0</v>
      </c>
      <c r="E22" s="71">
        <f>ROUND('Raw Data'!E10/'Raw Data'!E6,3)-'Raw Data'!E33</f>
        <v>0</v>
      </c>
      <c r="F22" s="69">
        <v>9.9999999999999995E-7</v>
      </c>
      <c r="G22" s="49" t="str">
        <f t="shared" si="0"/>
        <v>PASS</v>
      </c>
      <c r="H22" s="20" t="s">
        <v>566</v>
      </c>
    </row>
    <row r="23" spans="1:8" ht="25.5" customHeight="1" x14ac:dyDescent="0.3">
      <c r="A23" s="19">
        <v>10</v>
      </c>
      <c r="B23" s="67" t="s">
        <v>569</v>
      </c>
      <c r="C23" s="71">
        <f>ROUND('Raw Data'!C9/'Raw Data'!C6,3)-'Raw Data'!C32</f>
        <v>0</v>
      </c>
      <c r="D23" s="71">
        <f>ROUND('Raw Data'!D9/'Raw Data'!D6,3)-'Raw Data'!D32</f>
        <v>0</v>
      </c>
      <c r="E23" s="71">
        <f>ROUND('Raw Data'!E9/'Raw Data'!E6,3)-'Raw Data'!E32</f>
        <v>0</v>
      </c>
      <c r="F23" s="69">
        <v>9.9999999999999995E-7</v>
      </c>
      <c r="G23" s="49" t="str">
        <f t="shared" si="0"/>
        <v>PASS</v>
      </c>
      <c r="H23" s="20" t="s">
        <v>566</v>
      </c>
    </row>
    <row r="24" spans="1:8" ht="25.5" customHeight="1" x14ac:dyDescent="0.3">
      <c r="A24" s="19">
        <v>11</v>
      </c>
      <c r="B24" s="67" t="s">
        <v>570</v>
      </c>
      <c r="C24" s="71">
        <f>ROUND('Raw Data'!C6/'Raw Data'!C50-1,2)-'Raw Data'!C45</f>
        <v>0</v>
      </c>
      <c r="D24" s="71">
        <f>ROUND('Raw Data'!D6/'Raw Data'!D50-1,2)-'Raw Data'!D45</f>
        <v>0</v>
      </c>
      <c r="E24" s="71">
        <f>ROUND('Raw Data'!E6/'Raw Data'!E50-1,2)-'Raw Data'!E45</f>
        <v>0</v>
      </c>
      <c r="F24" s="69">
        <v>9.9999999999999995E-7</v>
      </c>
      <c r="G24" s="49" t="str">
        <f t="shared" si="0"/>
        <v>PASS</v>
      </c>
      <c r="H24" s="20" t="s">
        <v>571</v>
      </c>
    </row>
    <row r="25" spans="1:8" ht="25.5" customHeight="1" x14ac:dyDescent="0.3">
      <c r="A25" s="19">
        <v>12</v>
      </c>
      <c r="B25" s="67" t="s">
        <v>572</v>
      </c>
      <c r="C25" s="71">
        <f>ROUND('Raw Data'!C11/'Raw Data'!C51-1,2)-'Raw Data'!C46</f>
        <v>0</v>
      </c>
      <c r="D25" s="71">
        <f>ROUND('Raw Data'!D11/'Raw Data'!D51-1,2)-'Raw Data'!D46</f>
        <v>0</v>
      </c>
      <c r="E25" s="71">
        <f>ROUND('Raw Data'!E11/'Raw Data'!E51-1,2)-'Raw Data'!E46</f>
        <v>0</v>
      </c>
      <c r="F25" s="69">
        <v>9.9999999999999995E-7</v>
      </c>
      <c r="G25" s="49" t="str">
        <f t="shared" si="0"/>
        <v>PASS</v>
      </c>
      <c r="H25" s="20" t="s">
        <v>566</v>
      </c>
    </row>
    <row r="26" spans="1:8" ht="25.5" customHeight="1" x14ac:dyDescent="0.3">
      <c r="A26" s="19">
        <v>13</v>
      </c>
      <c r="B26" s="67" t="s">
        <v>573</v>
      </c>
      <c r="C26" s="72">
        <f>ROUND('Raw Data'!C24/'Raw Data'!C6,1)-'Raw Data'!C38</f>
        <v>0</v>
      </c>
      <c r="D26" s="72">
        <f>ROUND('Raw Data'!D24/'Raw Data'!D6,1)-'Raw Data'!D38</f>
        <v>0</v>
      </c>
      <c r="E26" s="72">
        <f>ROUND('Raw Data'!E24/'Raw Data'!E6,1)-'Raw Data'!E38</f>
        <v>0</v>
      </c>
      <c r="F26" s="69">
        <v>9.9999999999999995E-7</v>
      </c>
      <c r="G26" s="49" t="str">
        <f t="shared" si="0"/>
        <v>PASS</v>
      </c>
      <c r="H26" s="20" t="s">
        <v>574</v>
      </c>
    </row>
    <row r="27" spans="1:8" ht="25.5" customHeight="1" x14ac:dyDescent="0.3">
      <c r="A27" s="19">
        <v>14</v>
      </c>
      <c r="B27" s="67" t="s">
        <v>575</v>
      </c>
      <c r="C27" s="73">
        <f>'Financial Calculations'!C16</f>
        <v>0.25657785973167146</v>
      </c>
      <c r="D27" s="73">
        <f>'Financial Calculations'!D16</f>
        <v>0.29578852656479415</v>
      </c>
      <c r="E27" s="73">
        <f>'Financial Calculations'!E16</f>
        <v>0.33306447821735974</v>
      </c>
      <c r="F27" s="69">
        <v>1</v>
      </c>
      <c r="G27" s="49" t="str">
        <f t="shared" si="0"/>
        <v>PASS</v>
      </c>
      <c r="H27" s="20" t="s">
        <v>576</v>
      </c>
    </row>
    <row r="28" spans="1:8" ht="25.5" customHeight="1" x14ac:dyDescent="0.3">
      <c r="A28" s="19">
        <v>15</v>
      </c>
      <c r="B28" s="67" t="s">
        <v>577</v>
      </c>
      <c r="C28" s="73">
        <f>'Financial Calculations'!C19</f>
        <v>0.26547452765267321</v>
      </c>
      <c r="D28" s="73">
        <f>'Financial Calculations'!D19</f>
        <v>0.24521376976638365</v>
      </c>
      <c r="E28" s="73">
        <f>'Financial Calculations'!E19</f>
        <v>0.24720535002147326</v>
      </c>
      <c r="F28" s="69">
        <v>1</v>
      </c>
      <c r="G28" s="49" t="str">
        <f t="shared" si="0"/>
        <v>PASS</v>
      </c>
      <c r="H28" s="20" t="s">
        <v>566</v>
      </c>
    </row>
    <row r="29" spans="1:8" ht="25.5" customHeight="1" x14ac:dyDescent="0.3">
      <c r="A29" s="19">
        <v>16</v>
      </c>
      <c r="B29" s="67" t="s">
        <v>578</v>
      </c>
      <c r="C29" s="68">
        <f>'Financial Calculations'!C68</f>
        <v>-66.813000000001921</v>
      </c>
      <c r="D29" s="68">
        <f>'Financial Calculations'!D68</f>
        <v>30.818000000006577</v>
      </c>
      <c r="E29" s="68">
        <f>'Financial Calculations'!E68</f>
        <v>93.022999999993772</v>
      </c>
      <c r="F29" s="70">
        <f>'Financial Calculations'!$C$6*(MAX('Raw Data'!$C$23:$E$23)+MAX('Raw Data'!$C$6:$E$6))</f>
        <v>155.94650000000001</v>
      </c>
      <c r="G29" s="49" t="str">
        <f t="shared" si="0"/>
        <v>PASS</v>
      </c>
      <c r="H29" s="20" t="s">
        <v>579</v>
      </c>
    </row>
    <row r="30" spans="1:8" ht="25.5" customHeight="1" x14ac:dyDescent="0.3">
      <c r="A30" s="19">
        <v>17</v>
      </c>
      <c r="B30" s="67" t="s">
        <v>580</v>
      </c>
      <c r="C30" s="68">
        <f>MAX(0,'Financial Calculations'!C11-'Raw Data'!C23)</f>
        <v>0</v>
      </c>
      <c r="D30" s="68">
        <f>MAX(0,'Financial Calculations'!D11-'Raw Data'!D23)</f>
        <v>0</v>
      </c>
      <c r="E30" s="68">
        <f>MAX(0,'Financial Calculations'!E11-'Raw Data'!E23)</f>
        <v>0</v>
      </c>
      <c r="F30" s="69">
        <v>0</v>
      </c>
      <c r="G30" s="49" t="str">
        <f t="shared" si="0"/>
        <v>PASS</v>
      </c>
      <c r="H30" s="20" t="s">
        <v>581</v>
      </c>
    </row>
    <row r="31" spans="1:8" ht="25.5" customHeight="1" x14ac:dyDescent="0.3">
      <c r="A31" s="19">
        <v>18</v>
      </c>
      <c r="B31" s="67" t="s">
        <v>582</v>
      </c>
      <c r="C31" s="68">
        <f>MAX(0,'Raw Data'!C22-'Raw Data'!C23)</f>
        <v>0</v>
      </c>
      <c r="D31" s="68">
        <f>MAX(0,'Raw Data'!D22-'Raw Data'!D23)</f>
        <v>0</v>
      </c>
      <c r="E31" s="68">
        <f>MAX(0,'Raw Data'!E22-'Raw Data'!E23)</f>
        <v>0</v>
      </c>
      <c r="F31" s="69">
        <v>0</v>
      </c>
      <c r="G31" s="49" t="str">
        <f t="shared" si="0"/>
        <v>PASS</v>
      </c>
      <c r="H31" s="20" t="s">
        <v>581</v>
      </c>
    </row>
    <row r="32" spans="1:8" ht="25.5" customHeight="1" x14ac:dyDescent="0.3">
      <c r="A32" s="19">
        <v>19</v>
      </c>
      <c r="B32" s="67" t="s">
        <v>583</v>
      </c>
      <c r="C32" s="68">
        <f>MAX(0,'Raw Data'!C15-'Raw Data'!C23)</f>
        <v>0</v>
      </c>
      <c r="D32" s="68">
        <f>MAX(0,'Raw Data'!D15-'Raw Data'!D23)</f>
        <v>0</v>
      </c>
      <c r="E32" s="68">
        <f>MAX(0,'Raw Data'!E15-'Raw Data'!E23)</f>
        <v>0</v>
      </c>
      <c r="F32" s="69">
        <v>0</v>
      </c>
      <c r="G32" s="49" t="str">
        <f t="shared" si="0"/>
        <v>PASS</v>
      </c>
      <c r="H32" s="20" t="s">
        <v>581</v>
      </c>
    </row>
    <row r="33" spans="1:8" ht="25.5" customHeight="1" x14ac:dyDescent="0.3">
      <c r="A33" s="19">
        <v>20</v>
      </c>
      <c r="B33" s="67" t="s">
        <v>584</v>
      </c>
      <c r="C33" s="68">
        <f>MAX(0,'Financial Calculations'!C52-'Financial Calculations'!C51,'Financial Calculations'!C51-'Financial Calculations'!C53)</f>
        <v>0</v>
      </c>
      <c r="D33" s="68">
        <f>MAX(0,'Financial Calculations'!D52-'Financial Calculations'!D51,'Financial Calculations'!D51-'Financial Calculations'!D53)</f>
        <v>0</v>
      </c>
      <c r="E33" s="68">
        <f>MAX(0,'Financial Calculations'!E52-'Financial Calculations'!E51,'Financial Calculations'!E51-'Financial Calculations'!E53)</f>
        <v>0</v>
      </c>
      <c r="F33" s="69">
        <v>0</v>
      </c>
      <c r="G33" s="49" t="str">
        <f t="shared" si="0"/>
        <v>PASS</v>
      </c>
      <c r="H33" s="20" t="s">
        <v>585</v>
      </c>
    </row>
    <row r="34" spans="1:8" ht="25.5" customHeight="1" x14ac:dyDescent="0.3">
      <c r="A34" s="19">
        <v>21</v>
      </c>
      <c r="B34" s="67" t="s">
        <v>586</v>
      </c>
      <c r="C34" s="68">
        <f>MAX(0,'Financial Calculations'!C55-'Financial Calculations'!C51)</f>
        <v>0</v>
      </c>
      <c r="D34" s="68">
        <f>MAX(0,'Financial Calculations'!D55-'Financial Calculations'!D51)</f>
        <v>0</v>
      </c>
      <c r="E34" s="68">
        <f>MAX(0,'Financial Calculations'!E55-'Financial Calculations'!E51)</f>
        <v>0</v>
      </c>
      <c r="F34" s="69">
        <v>0</v>
      </c>
      <c r="G34" s="49" t="str">
        <f t="shared" si="0"/>
        <v>PASS</v>
      </c>
      <c r="H34" s="20" t="s">
        <v>587</v>
      </c>
    </row>
    <row r="35" spans="1:8" ht="25.5" customHeight="1" x14ac:dyDescent="0.3">
      <c r="A35" s="19">
        <v>22</v>
      </c>
      <c r="B35" s="67" t="s">
        <v>588</v>
      </c>
      <c r="C35" s="68">
        <f>'Raw Data'!C16</f>
        <v>0</v>
      </c>
      <c r="D35" s="68">
        <f>'Raw Data'!D16</f>
        <v>0</v>
      </c>
      <c r="E35" s="68">
        <f>'Raw Data'!E16</f>
        <v>0</v>
      </c>
      <c r="F35" s="69">
        <v>0</v>
      </c>
      <c r="G35" s="49" t="str">
        <f t="shared" si="0"/>
        <v>PASS</v>
      </c>
      <c r="H35" s="20" t="s">
        <v>589</v>
      </c>
    </row>
    <row r="36" spans="1:8" ht="25.5" customHeight="1" x14ac:dyDescent="0.3">
      <c r="A36" s="19">
        <v>23</v>
      </c>
      <c r="B36" s="67" t="s">
        <v>590</v>
      </c>
      <c r="C36" s="68">
        <f>IF(COUNT('Raw Data'!$C$5:$E$58)=132,0,COUNT('Raw Data'!$C$5:$E$58)-132)</f>
        <v>0</v>
      </c>
      <c r="D36" s="68">
        <f>0</f>
        <v>0</v>
      </c>
      <c r="E36" s="68">
        <f>0</f>
        <v>0</v>
      </c>
      <c r="F36" s="69">
        <v>0</v>
      </c>
      <c r="G36" s="49" t="str">
        <f t="shared" si="0"/>
        <v>PASS</v>
      </c>
      <c r="H36" s="20" t="s">
        <v>591</v>
      </c>
    </row>
    <row r="38" spans="1:8" x14ac:dyDescent="0.3">
      <c r="A38" s="89" t="s">
        <v>592</v>
      </c>
    </row>
    <row r="39" spans="1:8" ht="27.75" customHeight="1" x14ac:dyDescent="0.3">
      <c r="A39" s="19">
        <v>1</v>
      </c>
      <c r="B39" s="77" t="s">
        <v>593</v>
      </c>
      <c r="C39" s="77"/>
      <c r="D39" s="77"/>
      <c r="E39" s="77"/>
      <c r="F39" s="77"/>
      <c r="G39" s="77"/>
      <c r="H39" s="77"/>
    </row>
    <row r="40" spans="1:8" ht="27.75" customHeight="1" x14ac:dyDescent="0.3">
      <c r="A40" s="19">
        <v>2</v>
      </c>
      <c r="B40" s="77" t="s">
        <v>594</v>
      </c>
      <c r="C40" s="77"/>
      <c r="D40" s="77"/>
      <c r="E40" s="77"/>
      <c r="F40" s="77"/>
      <c r="G40" s="77"/>
      <c r="H40" s="77"/>
    </row>
    <row r="41" spans="1:8" ht="27.75" customHeight="1" x14ac:dyDescent="0.3">
      <c r="A41" s="19">
        <v>3</v>
      </c>
      <c r="B41" s="77" t="s">
        <v>595</v>
      </c>
      <c r="C41" s="77"/>
      <c r="D41" s="77"/>
      <c r="E41" s="77"/>
      <c r="F41" s="77"/>
      <c r="G41" s="77"/>
      <c r="H41" s="77"/>
    </row>
    <row r="42" spans="1:8" ht="27.75" customHeight="1" x14ac:dyDescent="0.3">
      <c r="A42" s="19">
        <v>4</v>
      </c>
      <c r="B42" s="77" t="s">
        <v>596</v>
      </c>
      <c r="C42" s="77"/>
      <c r="D42" s="77"/>
      <c r="E42" s="77"/>
      <c r="F42" s="77"/>
      <c r="G42" s="77"/>
      <c r="H42" s="77"/>
    </row>
    <row r="43" spans="1:8" ht="27.75" customHeight="1" x14ac:dyDescent="0.3">
      <c r="A43" s="19">
        <v>5</v>
      </c>
      <c r="B43" s="77" t="s">
        <v>597</v>
      </c>
      <c r="C43" s="77"/>
      <c r="D43" s="77"/>
      <c r="E43" s="77"/>
      <c r="F43" s="77"/>
      <c r="G43" s="77"/>
      <c r="H43" s="77"/>
    </row>
    <row r="44" spans="1:8" ht="27.75" customHeight="1" x14ac:dyDescent="0.3">
      <c r="A44" s="19">
        <v>6</v>
      </c>
      <c r="B44" s="77" t="s">
        <v>598</v>
      </c>
      <c r="C44" s="77"/>
      <c r="D44" s="77"/>
      <c r="E44" s="77"/>
      <c r="F44" s="77"/>
      <c r="G44" s="77"/>
      <c r="H44" s="77"/>
    </row>
    <row r="45" spans="1:8" ht="27.75" customHeight="1" x14ac:dyDescent="0.3">
      <c r="A45" s="19">
        <v>7</v>
      </c>
      <c r="B45" s="77" t="s">
        <v>599</v>
      </c>
      <c r="C45" s="77"/>
      <c r="D45" s="77"/>
      <c r="E45" s="77"/>
      <c r="F45" s="77"/>
      <c r="G45" s="77"/>
      <c r="H45" s="77"/>
    </row>
    <row r="47" spans="1:8" ht="27.75" customHeight="1" x14ac:dyDescent="0.3">
      <c r="B47" s="76" t="s">
        <v>600</v>
      </c>
      <c r="C47" s="76"/>
      <c r="D47" s="76"/>
      <c r="E47" s="76"/>
      <c r="F47" s="76"/>
      <c r="G47" s="76"/>
      <c r="H47" s="76"/>
    </row>
  </sheetData>
  <mergeCells count="11">
    <mergeCell ref="B47:H47"/>
    <mergeCell ref="B41:H41"/>
    <mergeCell ref="B42:H42"/>
    <mergeCell ref="B43:H43"/>
    <mergeCell ref="B44:H44"/>
    <mergeCell ref="B45:H45"/>
    <mergeCell ref="C4:E4"/>
    <mergeCell ref="B9:H9"/>
    <mergeCell ref="B10:H10"/>
    <mergeCell ref="B39:H39"/>
    <mergeCell ref="B40:H40"/>
  </mergeCells>
  <conditionalFormatting sqref="C4">
    <cfRule type="cellIs" dxfId="2" priority="4" operator="notEqual">
      <formula>"x"</formula>
    </cfRule>
  </conditionalFormatting>
  <conditionalFormatting sqref="G14:G36">
    <cfRule type="cellIs" dxfId="1" priority="2" operator="equal">
      <formula>"PASS"</formula>
    </cfRule>
    <cfRule type="cellIs" dxfId="0" priority="3" operator="equal">
      <formula>"CHECK"</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Raw Data</vt:lpstr>
      <vt:lpstr>Financial Calculations</vt:lpstr>
      <vt:lpstr>Trend Analysis</vt:lpstr>
      <vt:lpstr>Dashboard</vt:lpstr>
      <vt:lpstr>Data Sources and Audit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Infosys Limited - Cash Flow &amp; Liquidity Analysis (single-source edition)</dc:title>
  <dc:subject/>
  <dc:creator>Bhargava C</dc:creator>
  <dc:description/>
  <cp:lastModifiedBy>Bhargava C</cp:lastModifiedBy>
  <cp:revision>1</cp:revision>
  <dcterms:created xsi:type="dcterms:W3CDTF">2026-10-23T01:44:24Z</dcterms:created>
  <dcterms:modified xsi:type="dcterms:W3CDTF">2026-10-23T04:29:25Z</dcterms:modified>
  <dc:language>en-US</dc:language>
</cp:coreProperties>
</file>